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4BD4BEF-1D97-4DEB-B7E9-6EB8C7560D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1" r:id="rId1"/>
  </sheets>
  <definedNames>
    <definedName name="ExternalData_1" localSheetId="0">Sheet2!$A$1:$D$101</definedName>
    <definedName name="Google_Sheet_Link_776773947_1379876144" hidden="1">ExternalData_1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WI9cS7FnsSdDnWRZDsWTTVOqNPUs0mRsgM/B2vqHmgM="/>
    </ext>
  </extLst>
</workbook>
</file>

<file path=xl/calcChain.xml><?xml version="1.0" encoding="utf-8"?>
<calcChain xmlns="http://schemas.openxmlformats.org/spreadsheetml/2006/main">
  <c r="S76" i="1" l="1"/>
  <c r="S75" i="1"/>
  <c r="S74" i="1"/>
  <c r="S49" i="1"/>
  <c r="P23" i="1"/>
  <c r="P19" i="1"/>
  <c r="P18" i="1"/>
  <c r="P17" i="1"/>
  <c r="S16" i="1"/>
  <c r="S15" i="1"/>
  <c r="S14" i="1"/>
  <c r="S13" i="1"/>
  <c r="S12" i="1"/>
  <c r="P11" i="1"/>
  <c r="P9" i="1"/>
  <c r="U8" i="1"/>
  <c r="P8" i="1"/>
  <c r="P7" i="1"/>
  <c r="S6" i="1"/>
  <c r="AB5" i="1"/>
  <c r="S5" i="1"/>
  <c r="P5" i="1"/>
  <c r="AK4" i="1"/>
  <c r="AB4" i="1"/>
  <c r="S4" i="1"/>
  <c r="P4" i="1"/>
  <c r="AK3" i="1"/>
  <c r="AB3" i="1"/>
  <c r="S3" i="1"/>
  <c r="P3" i="1"/>
  <c r="S2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000-000023000000}">
      <text>
        <r>
          <rPr>
            <sz val="11"/>
            <color theme="1"/>
            <rFont val="Calibri"/>
            <scheme val="minor"/>
          </rPr>
          <t>======
ID#AAAB1L5I3a8
My Nguyễn    (2026-03-02 04:02:06)
mã 10 chỉ tiêu</t>
        </r>
      </text>
    </comment>
    <comment ref="L1" authorId="0" shapeId="0" xr:uid="{00000000-0006-0000-0000-000022000000}">
      <text>
        <r>
          <rPr>
            <sz val="11"/>
            <color theme="1"/>
            <rFont val="Calibri"/>
            <scheme val="minor"/>
          </rPr>
          <t>======
ID#AAAB1L5I3bA
My Nguyễn    (2026-03-02 04:02:36)
mã 270 tài sản</t>
        </r>
      </text>
    </comment>
    <comment ref="M1" authorId="0" shapeId="0" xr:uid="{00000000-0006-0000-0000-000021000000}">
      <text>
        <r>
          <rPr>
            <sz val="11"/>
            <color theme="1"/>
            <rFont val="Calibri"/>
            <scheme val="minor"/>
          </rPr>
          <t>======
ID#AAAB1L5I3bE
My Nguyễn    (2026-03-02 04:02:55)
mã 25 chi phí bán hàng</t>
        </r>
      </text>
    </comment>
    <comment ref="N1" authorId="0" shapeId="0" xr:uid="{00000000-0006-0000-0000-000020000000}">
      <text>
        <r>
          <rPr>
            <sz val="11"/>
            <color theme="1"/>
            <rFont val="Calibri"/>
            <scheme val="minor"/>
          </rPr>
          <t>======
ID#AAAB1L5I3bI
My Nguyễn    (2026-03-02 04:03:14)
mã 26 chỉ tiêu</t>
        </r>
      </text>
    </comment>
    <comment ref="O1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ID#AAAB1L5I3bM
My Nguyễn    (2026-03-02 04:04:21)
mã 227 tài sản cố định vô hình</t>
        </r>
      </text>
    </comment>
    <comment ref="P1" authorId="0" shapeId="0" xr:uid="{00000000-0006-0000-0000-000025000000}">
      <text>
        <r>
          <rPr>
            <sz val="11"/>
            <color theme="1"/>
            <rFont val="Calibri"/>
            <scheme val="minor"/>
          </rPr>
          <t>======
ID#AAAB0tx43h0
My Nguyễn    (2026-02-24 15:27:24)
Tổng chi phí yếu tố - NVL - Nhân công (chi phí sxkd theo yếu tố, thuyết minh bctc)</t>
        </r>
      </text>
    </comment>
    <comment ref="Q1" authorId="0" shapeId="0" xr:uid="{00000000-0006-0000-0000-000028000000}">
      <text>
        <r>
          <rPr>
            <sz val="11"/>
            <color theme="1"/>
            <rFont val="Calibri"/>
            <scheme val="minor"/>
          </rPr>
          <t>======
ID#AAAB0efrQoc
Cẩm Tú Lê    (2026-02-17 16:18:23)
ko khớp vs notebook
------
ID#AAAB1L5I3bU
My Nguyễn    (2026-03-02 04:33:17)
mã 30 chỉ tiêu</t>
        </r>
      </text>
    </comment>
    <comment ref="R1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ID#AAAB1L5I3bY
My Nguyễn    (2026-03-02 04:34:24)
chi phí NVL (chi phí sxkd theo yếu tố, thuyết minh)</t>
        </r>
      </text>
    </comment>
    <comment ref="S1" authorId="0" shapeId="0" xr:uid="{00000000-0006-0000-0000-000024000000}">
      <text>
        <r>
          <rPr>
            <sz val="11"/>
            <color theme="1"/>
            <rFont val="Calibri"/>
            <scheme val="minor"/>
          </rPr>
          <t>======
ID#AAAB0tx43iA
My Nguyễn    (2026-02-24 15:42:15)
= Giá vốn hàng hóa đã bán (mục 29 thuyết minh) + Tồn kho hàng hóa cuối kỳ - Tồn kho hàng hóa đầu kỳ (mục 11 thuyết minh)</t>
        </r>
      </text>
    </comment>
    <comment ref="T1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ID#AAAB1L5I3bc
My Nguyễn    (2026-03-02 04:39:09)
chi phí sxkd dở dang (thuyết minh hàng tồn kho)</t>
        </r>
      </text>
    </comment>
    <comment ref="U1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ID#AAAB1L5I3c0
My Nguyễn    (2026-03-02 04:40:47)
chi phí dịch vụ mua ngoài (thuyết minh cpsxkd theo yếu tố)</t>
        </r>
      </text>
    </comment>
    <comment ref="V1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ID#AAAB1L5I3c4
My Nguyễn    (2026-03-02 04:41:19)
tổng cpsxkd theo yếu tố</t>
        </r>
      </text>
    </comment>
    <comment ref="Z1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ID#AAAB1L5I3c8
My Nguyễn    (2026-03-02 04:43:18)
mã 60 chỉ tiêu</t>
        </r>
      </text>
    </comment>
    <comment ref="AA1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ID#AAAB1L5I3dA
My Nguyễn    (2026-03-02 04:44:19)
mã 410 nguồn vốn</t>
        </r>
      </text>
    </comment>
    <comment ref="AB1" authorId="0" shapeId="0" xr:uid="{00000000-0006-0000-0000-000027000000}">
      <text>
        <r>
          <rPr>
            <sz val="11"/>
            <color theme="1"/>
            <rFont val="Calibri"/>
            <scheme val="minor"/>
          </rPr>
          <t>======
ID#AAAB0f8PGMs
Cẩm Tú Lê    (2026-02-18 06:41:34)
Giá đóng cửa cuối năm x số lg cổ phiếu</t>
        </r>
      </text>
    </comment>
    <comment ref="AC1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ID#AAAB1L5I3dE
My Nguyễn    (2026-03-02 04:47:31)
mã 300 nguồn vốn</t>
        </r>
      </text>
    </comment>
    <comment ref="AD1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ID#AAAB1L5I3dI
My Nguyễn    (2026-03-02 04:48:59)
mã 20 lưu chuyển tiền từ hd kd</t>
        </r>
      </text>
    </comment>
    <comment ref="AE1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ID#AAAB1L5I3dM
My Nguyễn    (2026-03-02 04:49:26)
mã 21 tiền chi để mua sắm</t>
        </r>
      </text>
    </comment>
    <comment ref="AF1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ID#AAAB1L5I3dQ
My Nguyễn    (2026-03-02 04:50:05)
mã 30 lưu chuyền từ hd đầu tư</t>
        </r>
      </text>
    </comment>
    <comment ref="AG1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ID#AAAB1L5I3dU
My Nguyễn    (2026-03-02 04:50:54)
mã 70 tiền &amp; tương đương tiền cuối năm</t>
        </r>
      </text>
    </comment>
    <comment ref="AH1" authorId="0" shapeId="0" xr:uid="{00000000-0006-0000-0000-000026000000}">
      <text>
        <r>
          <rPr>
            <sz val="11"/>
            <color theme="1"/>
            <rFont val="Calibri"/>
            <scheme val="minor"/>
          </rPr>
          <t>======
ID#AAAB0gAc4vg
Anh Thư Đinh Nguyễn    (2026-02-18 09:28:04)
có vẻ ko khớp với notebook
------
ID#AAAB0tx43iI
My Nguyễn    (2026-02-24 16:07:17)
Nợ dài hạn hay Vay và nợ dài hạn (mục Nguồn vốn trong BCDKT)</t>
        </r>
      </text>
    </comment>
    <comment ref="AI1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ID#AAAB1L5I3dY
My Nguyễn    (2026-03-02 04:51:57)
mã 100 tài sản ngắn hạn</t>
        </r>
      </text>
    </comment>
    <comment ref="AJ1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ID#AAAB1L5I3dc
My Nguyễn    (2026-03-02 04:52:23)
mã 310 nợ ngắn hạn</t>
        </r>
      </text>
    </comment>
    <comment ref="AL1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ID#AAAB1L5I3dg
My Nguyễn    (2026-03-02 04:54:39)
mã 140 hàng tồn kho</t>
        </r>
      </text>
    </comment>
    <comment ref="AM1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ID#AAAB1L5I3do
My Nguyễn    (2026-03-02 04:56:46)
mã 36 cổ tức lợi nhuận đã trả cho chủ sở hữu</t>
        </r>
      </text>
    </comment>
    <comment ref="AN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ID#AAAB1L5I3dk
My Nguyễn    (2026-03-02 04:55:45)
mã 70 lãi cơ bản trên cổ phiếu</t>
        </r>
      </text>
    </comment>
    <comment ref="AO1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ID#AAAB1L5I3ds
My Nguyễn    (2026-03-02 04:57:51)
nhiều báo cáo chỉ nói cty mẹ</t>
        </r>
      </text>
    </comment>
    <comment ref="AP1" authorId="0" shapeId="0" xr:uid="{00000000-0006-0000-0000-000029000000}">
      <text>
        <r>
          <rPr>
            <sz val="11"/>
            <color theme="1"/>
            <rFont val="Calibri"/>
            <scheme val="minor"/>
          </rPr>
          <t>======
ID#AAAB0efrHCs
Cẩm Tú Lê    (2026-02-17 14:13:37)
Net PPE = Nguyên giá TSCĐ hữu hình – Khấu hao lũy kế . Chỗ này đang cấn, nghi ngờ là đã làm sai
------
ID#AAAB0efrQog
Cẩm Tú Lê    (2026-02-17 16:18:43)
ko khớp notebook, cần check lại
------
ID#AAAB0tx43iU
My Nguyễn    (2026-02-24 16:21:22)
TSCD hay TSCD hữu hình
------
ID#AAAB2LBySqY
Ngọc Linh Nguyễn    (2026-03-18 15:07:01)
notebook sai đấy, cthuc tú đúng, tscđ hữu hình nguyên giá - hào mòn lũy kế</t>
        </r>
      </text>
    </comment>
    <comment ref="T77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ID#AAAB2U0IXCQ
Ngọc Linh Nguyễn    (2026-03-27 14:07:44)
đoạn này kco mục đấy trong bctc t kbt ghi 0 hay n/a</t>
        </r>
      </text>
    </comment>
    <comment ref="AB7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ID#AAAB2U0IXDg
Ngọc Linh Nguyễn    (2026-03-27 15:12:56)
59,182</t>
        </r>
      </text>
    </comment>
    <comment ref="AB7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ID#AAAB2U0IXDc
Ngọc Linh Nguyễn    (2026-03-27 15:12:23)
61,704</t>
        </r>
      </text>
    </comment>
    <comment ref="AB79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ID#AAAB2U0IXDY
Ngọc Linh Nguyễn    (2026-03-27 15:11:49)
56,508</t>
        </r>
      </text>
    </comment>
    <comment ref="AB8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ID#AAAB2U0IXDU
Ngọc Linh Nguyễn    (2026-03-27 15:11:09)
80,744</t>
        </r>
      </text>
    </comment>
    <comment ref="AB87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ID#AAAB2U0IXDQ
Ngọc Linh Nguyễn    (2026-03-27 15:09:46)
27,246</t>
        </r>
      </text>
    </comment>
    <comment ref="AB88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ID#AAAB2U0IXDM
Ngọc Linh Nguyễn    (2026-03-27 15:08:02)
39,629</t>
        </r>
      </text>
    </comment>
    <comment ref="AB89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ID#AAAB2U0IXDI
Ngọc Linh Nguyễn    (2026-03-27 15:07:17)
37,046</t>
        </r>
      </text>
    </comment>
    <comment ref="S92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ID#AAAB2LQ482Y
Ngọc Linh Nguyễn    (2026-03-18 16:27:05)
có thể tính dc = công thức, giá vốn hàng bán + tồn kho cuối kì - tồn kho đầu kì</t>
        </r>
      </text>
    </comment>
    <comment ref="T94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ID#AAAB2LQ482s
Ngọc Linh Nguyễn    (2026-03-18 16:57:21)
67.529.975.600</t>
        </r>
      </text>
    </comment>
    <comment ref="AB94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ID#AAAB2U0IXC8
Ngọc Linh Nguyễn    (2026-03-27 14:52:30)
35,812 *</t>
        </r>
      </text>
    </comment>
    <comment ref="S97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ID#AAAB2LQ482M
Ngọc Linh Nguyễn    (2026-03-18 16:12:19)
t đang thấy lệch hết</t>
        </r>
      </text>
    </comment>
    <comment ref="AQ97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ID#AAAB2LBySp8
Ngọc Linh Nguyễn    (2026-03-18 14:46:08)
năm thành lập tính từ chứng nhận đky doanh nghiệp (2005) hay từ năm bdau hdong (2002)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pve/97Jdq/MDMW1VxafaHmjmpnw=="/>
    </ext>
  </extLst>
</comments>
</file>

<file path=xl/sharedStrings.xml><?xml version="1.0" encoding="utf-8"?>
<sst xmlns="http://schemas.openxmlformats.org/spreadsheetml/2006/main" count="611" uniqueCount="112">
  <si>
    <t>ticker</t>
  </si>
  <si>
    <t>company_name</t>
  </si>
  <si>
    <t>Exchange</t>
  </si>
  <si>
    <t>Industry</t>
  </si>
  <si>
    <t>fiscal_year</t>
  </si>
  <si>
    <t>managerial_inside_own</t>
  </si>
  <si>
    <t>state_own</t>
  </si>
  <si>
    <t>institutional_own</t>
  </si>
  <si>
    <t>foreign_own</t>
  </si>
  <si>
    <t>shares_outstanding</t>
  </si>
  <si>
    <t>net_sales</t>
  </si>
  <si>
    <t>total_assets</t>
  </si>
  <si>
    <t>selling_expenses</t>
  </si>
  <si>
    <t>general_admin_expenses</t>
  </si>
  <si>
    <t>intangible_assets_net</t>
  </si>
  <si>
    <t>manufacturing_overhead</t>
  </si>
  <si>
    <t>net_operating_income</t>
  </si>
  <si>
    <t>raw_material_consumption</t>
  </si>
  <si>
    <t>merchandise_purchase_year</t>
  </si>
  <si>
    <t>wip_goods_purchase</t>
  </si>
  <si>
    <t>outside_manufacturing_expenses</t>
  </si>
  <si>
    <t>production_cost</t>
  </si>
  <si>
    <t>rnd_expenses</t>
  </si>
  <si>
    <t>product_innovation</t>
  </si>
  <si>
    <t>process_innovation</t>
  </si>
  <si>
    <t>net_income</t>
  </si>
  <si>
    <t>total_equity</t>
  </si>
  <si>
    <t>market_value_equity</t>
  </si>
  <si>
    <t>total_liabilities</t>
  </si>
  <si>
    <t>net_cfo</t>
  </si>
  <si>
    <t>capex</t>
  </si>
  <si>
    <t>net_cfi</t>
  </si>
  <si>
    <t>cash_and_equivalents</t>
  </si>
  <si>
    <t>long_term_debt</t>
  </si>
  <si>
    <t>current_assets</t>
  </si>
  <si>
    <t>current_liabilities</t>
  </si>
  <si>
    <t>growth_ratio</t>
  </si>
  <si>
    <t>inventory</t>
  </si>
  <si>
    <t>dividend_cash_paid</t>
  </si>
  <si>
    <t>eps_basic</t>
  </si>
  <si>
    <t>employees_count</t>
  </si>
  <si>
    <t>net_ppe</t>
  </si>
  <si>
    <t>firm_age</t>
  </si>
  <si>
    <t>AAA</t>
  </si>
  <si>
    <t>An Phát Bioplastics</t>
  </si>
  <si>
    <t>HOSE</t>
  </si>
  <si>
    <t>Hóa chất</t>
  </si>
  <si>
    <t>N/A</t>
  </si>
  <si>
    <t>ANV</t>
  </si>
  <si>
    <t>Thủy sản Nam Việt</t>
  </si>
  <si>
    <t>Thực phẩm và đồ uống</t>
  </si>
  <si>
    <t>BFC</t>
  </si>
  <si>
    <t>Phân bón Bình Điền</t>
  </si>
  <si>
    <t>CTD</t>
  </si>
  <si>
    <t>Xây dựng Coteccons</t>
  </si>
  <si>
    <t>Xây dựng và Vật liệu</t>
  </si>
  <si>
    <t>DHC</t>
  </si>
  <si>
    <t>Đông Hải Bến Tre</t>
  </si>
  <si>
    <t>Tài nguyên Cơ bản</t>
  </si>
  <si>
    <t>FMC</t>
  </si>
  <si>
    <t>Thực phẩm Sao Ta</t>
  </si>
  <si>
    <t>HAX</t>
  </si>
  <si>
    <t>Ô tô Hàng Xanh</t>
  </si>
  <si>
    <t>Ô tô và phụ tùng</t>
  </si>
  <si>
    <t>IMP</t>
  </si>
  <si>
    <t>IMEXPHARM</t>
  </si>
  <si>
    <t>Y tế</t>
  </si>
  <si>
    <t>NCT</t>
  </si>
  <si>
    <t>DV Hàng hóa Nội Bài</t>
  </si>
  <si>
    <t>Hàng &amp; Dịch vụ Công nghiệp</t>
  </si>
  <si>
    <t>NTP</t>
  </si>
  <si>
    <t>Nhựa Tiền Phong</t>
  </si>
  <si>
    <t>HNX</t>
  </si>
  <si>
    <t>PAN</t>
  </si>
  <si>
    <t>Tập đoàn PAN</t>
  </si>
  <si>
    <t>208,830,750</t>
  </si>
  <si>
    <t>PHR</t>
  </si>
  <si>
    <t>Cao su Phước Hòa</t>
  </si>
  <si>
    <t>PTB</t>
  </si>
  <si>
    <t>Công ty Cổ phần Phú Tài</t>
  </si>
  <si>
    <t>PVT</t>
  </si>
  <si>
    <t>Vận tải Dầu khí PVTrans</t>
  </si>
  <si>
    <t>SBT</t>
  </si>
  <si>
    <t>Mía đường Thành Thành Công - Biên Hòa</t>
  </si>
  <si>
    <t xml:space="preserve">	28.96%</t>
  </si>
  <si>
    <t>26.31%</t>
  </si>
  <si>
    <t>3.32%</t>
  </si>
  <si>
    <t>586,740,552</t>
  </si>
  <si>
    <t xml:space="preserve">	28.85%</t>
  </si>
  <si>
    <t>638,769,480</t>
  </si>
  <si>
    <t>26.60%</t>
  </si>
  <si>
    <t xml:space="preserve">        25.82%</t>
  </si>
  <si>
    <t xml:space="preserve">        3.38%</t>
  </si>
  <si>
    <t>650,762,228</t>
  </si>
  <si>
    <t xml:space="preserve">        25.95%</t>
  </si>
  <si>
    <t xml:space="preserve">	2.84%</t>
  </si>
  <si>
    <t>740,500,993</t>
  </si>
  <si>
    <t xml:space="preserve">        569.62</t>
  </si>
  <si>
    <t xml:space="preserve">	38.45%</t>
  </si>
  <si>
    <t xml:space="preserve">	16.54%</t>
  </si>
  <si>
    <t>762,112,326</t>
  </si>
  <si>
    <t>SGN</t>
  </si>
  <si>
    <t>Phục vụ mặt đất Sài Gòn</t>
  </si>
  <si>
    <t>STK</t>
  </si>
  <si>
    <t>Sợi Thế Kỷ</t>
  </si>
  <si>
    <t>Hàng cá nhân &amp; Gia dụng</t>
  </si>
  <si>
    <t>TCM</t>
  </si>
  <si>
    <t>Dệt may Thành Công</t>
  </si>
  <si>
    <t>TLG</t>
  </si>
  <si>
    <t>Tập đoàn Thiên Long</t>
  </si>
  <si>
    <t>VCS</t>
  </si>
  <si>
    <t>VICOSTONE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</si>
</sst>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rgb="FFFFFFFF"/>
      <name val="Calibri"/>
      <family val="2"/>
      <scheme val="minor"/>
    </font>
    <font>
      <sz val="11"/>
      <color rgb="FF30303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E2EFD9"/>
        <bgColor rgb="FFE2EF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10" fontId="1" fillId="2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right" wrapText="1"/>
    </xf>
    <xf numFmtId="0" fontId="1" fillId="4" borderId="0" xfId="0" applyFont="1" applyFill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0" fontId="2" fillId="5" borderId="0" xfId="0" applyNumberFormat="1" applyFont="1" applyFill="1" applyAlignment="1">
      <alignment horizontal="right"/>
    </xf>
    <xf numFmtId="9" fontId="2" fillId="5" borderId="0" xfId="0" applyNumberFormat="1" applyFont="1" applyFill="1" applyAlignment="1">
      <alignment horizontal="right"/>
    </xf>
    <xf numFmtId="3" fontId="2" fillId="6" borderId="0" xfId="0" applyNumberFormat="1" applyFont="1" applyFill="1" applyAlignment="1">
      <alignment horizontal="right"/>
    </xf>
    <xf numFmtId="3" fontId="0" fillId="0" borderId="0" xfId="0" applyNumberFormat="1" applyAlignment="1">
      <alignment horizontal="right" wrapText="1"/>
    </xf>
    <xf numFmtId="3" fontId="2" fillId="5" borderId="0" xfId="0" applyNumberFormat="1" applyFont="1" applyFill="1" applyAlignment="1">
      <alignment horizontal="right"/>
    </xf>
    <xf numFmtId="3" fontId="3" fillId="5" borderId="0" xfId="0" applyNumberFormat="1" applyFont="1" applyFill="1" applyAlignment="1">
      <alignment horizontal="right"/>
    </xf>
    <xf numFmtId="3" fontId="0" fillId="5" borderId="0" xfId="0" applyNumberFormat="1" applyFill="1" applyAlignment="1">
      <alignment horizontal="right" wrapText="1"/>
    </xf>
    <xf numFmtId="3" fontId="0" fillId="5" borderId="0" xfId="0" applyNumberFormat="1" applyFill="1" applyAlignment="1">
      <alignment horizontal="right"/>
    </xf>
    <xf numFmtId="0" fontId="0" fillId="0" borderId="0" xfId="0" applyAlignment="1">
      <alignment horizontal="right" wrapText="1"/>
    </xf>
    <xf numFmtId="0" fontId="0" fillId="5" borderId="0" xfId="0" applyFill="1" applyAlignment="1">
      <alignment horizontal="right" wrapText="1"/>
    </xf>
    <xf numFmtId="3" fontId="3" fillId="7" borderId="0" xfId="0" applyNumberFormat="1" applyFont="1" applyFill="1" applyAlignment="1">
      <alignment horizontal="right" wrapText="1"/>
    </xf>
    <xf numFmtId="10" fontId="3" fillId="0" borderId="0" xfId="0" applyNumberFormat="1" applyFont="1" applyAlignment="1">
      <alignment horizontal="right"/>
    </xf>
    <xf numFmtId="3" fontId="4" fillId="0" borderId="0" xfId="0" applyNumberFormat="1" applyFont="1"/>
    <xf numFmtId="3" fontId="0" fillId="7" borderId="0" xfId="0" applyNumberFormat="1" applyFill="1" applyAlignment="1">
      <alignment horizontal="right" wrapText="1"/>
    </xf>
    <xf numFmtId="10" fontId="2" fillId="8" borderId="0" xfId="0" applyNumberFormat="1" applyFont="1" applyFill="1"/>
    <xf numFmtId="9" fontId="2" fillId="8" borderId="0" xfId="0" applyNumberFormat="1" applyFont="1" applyFill="1"/>
    <xf numFmtId="10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horizontal="right"/>
    </xf>
    <xf numFmtId="3" fontId="2" fillId="8" borderId="0" xfId="0" applyNumberFormat="1" applyFont="1" applyFill="1"/>
    <xf numFmtId="9" fontId="0" fillId="0" borderId="0" xfId="0" applyNumberFormat="1" applyAlignment="1">
      <alignment horizontal="right"/>
    </xf>
    <xf numFmtId="0" fontId="2" fillId="5" borderId="0" xfId="0" applyFont="1" applyFill="1" applyAlignment="1">
      <alignment horizontal="right"/>
    </xf>
    <xf numFmtId="10" fontId="2" fillId="8" borderId="0" xfId="0" applyNumberFormat="1" applyFont="1" applyFill="1" applyAlignment="1">
      <alignment horizontal="right"/>
    </xf>
    <xf numFmtId="9" fontId="2" fillId="8" borderId="0" xfId="0" applyNumberFormat="1" applyFont="1" applyFill="1" applyAlignment="1">
      <alignment horizontal="right"/>
    </xf>
    <xf numFmtId="3" fontId="2" fillId="8" borderId="0" xfId="0" applyNumberFormat="1" applyFont="1" applyFill="1" applyAlignment="1">
      <alignment horizontal="right"/>
    </xf>
    <xf numFmtId="0" fontId="2" fillId="8" borderId="0" xfId="0" applyFont="1" applyFill="1" applyAlignment="1">
      <alignment horizontal="right"/>
    </xf>
    <xf numFmtId="0" fontId="0" fillId="5" borderId="0" xfId="0" applyFill="1" applyAlignment="1">
      <alignment horizontal="right"/>
    </xf>
    <xf numFmtId="3" fontId="0" fillId="7" borderId="0" xfId="0" applyNumberFormat="1" applyFill="1" applyAlignment="1">
      <alignment horizontal="right"/>
    </xf>
    <xf numFmtId="10" fontId="0" fillId="0" borderId="0" xfId="0" applyNumberFormat="1" applyAlignment="1">
      <alignment horizontal="right" wrapText="1"/>
    </xf>
    <xf numFmtId="3" fontId="4" fillId="7" borderId="0" xfId="0" applyNumberFormat="1" applyFont="1" applyFill="1"/>
    <xf numFmtId="3" fontId="2" fillId="0" borderId="0" xfId="0" applyNumberFormat="1" applyFont="1" applyAlignment="1">
      <alignment horizontal="right"/>
    </xf>
    <xf numFmtId="0" fontId="0" fillId="5" borderId="0" xfId="0" applyFill="1" applyAlignment="1">
      <alignment horizontal="left"/>
    </xf>
    <xf numFmtId="10" fontId="0" fillId="5" borderId="0" xfId="0" applyNumberFormat="1" applyFill="1" applyAlignment="1">
      <alignment horizontal="right" wrapText="1"/>
    </xf>
    <xf numFmtId="10" fontId="3" fillId="5" borderId="0" xfId="0" applyNumberFormat="1" applyFont="1" applyFill="1" applyAlignment="1">
      <alignment horizontal="right"/>
    </xf>
    <xf numFmtId="9" fontId="0" fillId="0" borderId="0" xfId="0" applyNumberFormat="1" applyAlignment="1">
      <alignment horizontal="right" wrapText="1"/>
    </xf>
    <xf numFmtId="10" fontId="2" fillId="5" borderId="0" xfId="0" applyNumberFormat="1" applyFont="1" applyFill="1"/>
    <xf numFmtId="9" fontId="2" fillId="5" borderId="0" xfId="0" applyNumberFormat="1" applyFont="1" applyFill="1"/>
    <xf numFmtId="3" fontId="2" fillId="5" borderId="0" xfId="0" applyNumberFormat="1" applyFont="1" applyFill="1"/>
    <xf numFmtId="3" fontId="4" fillId="5" borderId="0" xfId="0" applyNumberFormat="1" applyFont="1" applyFill="1"/>
    <xf numFmtId="0" fontId="2" fillId="5" borderId="0" xfId="0" applyFont="1" applyFill="1"/>
    <xf numFmtId="10" fontId="0" fillId="5" borderId="0" xfId="0" applyNumberFormat="1" applyFill="1" applyAlignment="1">
      <alignment horizontal="right"/>
    </xf>
    <xf numFmtId="3" fontId="2" fillId="7" borderId="0" xfId="0" applyNumberFormat="1" applyFont="1" applyFill="1" applyAlignment="1">
      <alignment horizontal="right"/>
    </xf>
    <xf numFmtId="9" fontId="0" fillId="5" borderId="0" xfId="0" applyNumberFormat="1" applyFill="1" applyAlignment="1">
      <alignment horizontal="right" wrapText="1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3" fontId="3" fillId="7" borderId="0" xfId="0" applyNumberFormat="1" applyFont="1" applyFill="1" applyAlignment="1">
      <alignment horizontal="right"/>
    </xf>
    <xf numFmtId="0" fontId="0" fillId="9" borderId="0" xfId="0" applyFill="1" applyAlignment="1">
      <alignment horizontal="right" wrapText="1"/>
    </xf>
    <xf numFmtId="3" fontId="0" fillId="9" borderId="0" xfId="0" applyNumberFormat="1" applyFill="1" applyAlignment="1">
      <alignment horizontal="right" wrapText="1"/>
    </xf>
    <xf numFmtId="3" fontId="3" fillId="9" borderId="0" xfId="0" applyNumberFormat="1" applyFont="1" applyFill="1" applyAlignment="1">
      <alignment horizontal="right"/>
    </xf>
    <xf numFmtId="10" fontId="2" fillId="9" borderId="0" xfId="0" applyNumberFormat="1" applyFont="1" applyFill="1" applyAlignment="1">
      <alignment horizontal="right"/>
    </xf>
    <xf numFmtId="3" fontId="4" fillId="9" borderId="0" xfId="0" applyNumberFormat="1" applyFont="1" applyFill="1"/>
    <xf numFmtId="10" fontId="0" fillId="9" borderId="0" xfId="0" applyNumberFormat="1" applyFill="1" applyAlignment="1">
      <alignment horizontal="right" wrapText="1"/>
    </xf>
    <xf numFmtId="3" fontId="2" fillId="9" borderId="0" xfId="0" applyNumberFormat="1" applyFont="1" applyFill="1" applyAlignment="1">
      <alignment horizontal="right"/>
    </xf>
    <xf numFmtId="0" fontId="4" fillId="0" borderId="0" xfId="0" applyFont="1" applyAlignment="1">
      <alignment horizontal="left"/>
    </xf>
    <xf numFmtId="10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1">
    <tableStyle name="Sheet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Q101">
  <tableColumns count="43">
    <tableColumn id="1" xr3:uid="{00000000-0010-0000-0000-000001000000}" name="ticker"/>
    <tableColumn id="2" xr3:uid="{00000000-0010-0000-0000-000002000000}" name="company_name"/>
    <tableColumn id="3" xr3:uid="{00000000-0010-0000-0000-000003000000}" name="Exchange"/>
    <tableColumn id="4" xr3:uid="{00000000-0010-0000-0000-000004000000}" name="Industry"/>
    <tableColumn id="5" xr3:uid="{00000000-0010-0000-0000-000005000000}" name="fiscal_year"/>
    <tableColumn id="6" xr3:uid="{00000000-0010-0000-0000-000006000000}" name="managerial_inside_own"/>
    <tableColumn id="7" xr3:uid="{00000000-0010-0000-0000-000007000000}" name="state_own"/>
    <tableColumn id="8" xr3:uid="{00000000-0010-0000-0000-000008000000}" name="institutional_own"/>
    <tableColumn id="9" xr3:uid="{00000000-0010-0000-0000-000009000000}" name="foreign_own"/>
    <tableColumn id="10" xr3:uid="{00000000-0010-0000-0000-00000A000000}" name="shares_outstanding"/>
    <tableColumn id="11" xr3:uid="{00000000-0010-0000-0000-00000B000000}" name="net_sales"/>
    <tableColumn id="12" xr3:uid="{00000000-0010-0000-0000-00000C000000}" name="total_assets"/>
    <tableColumn id="13" xr3:uid="{00000000-0010-0000-0000-00000D000000}" name="selling_expenses"/>
    <tableColumn id="14" xr3:uid="{00000000-0010-0000-0000-00000E000000}" name="general_admin_expenses"/>
    <tableColumn id="15" xr3:uid="{00000000-0010-0000-0000-00000F000000}" name="intangible_assets_net"/>
    <tableColumn id="16" xr3:uid="{00000000-0010-0000-0000-000010000000}" name="manufacturing_overhead"/>
    <tableColumn id="17" xr3:uid="{00000000-0010-0000-0000-000011000000}" name="net_operating_income"/>
    <tableColumn id="18" xr3:uid="{00000000-0010-0000-0000-000012000000}" name="raw_material_consumption"/>
    <tableColumn id="19" xr3:uid="{00000000-0010-0000-0000-000013000000}" name="merchandise_purchase_year"/>
    <tableColumn id="20" xr3:uid="{00000000-0010-0000-0000-000014000000}" name="wip_goods_purchase"/>
    <tableColumn id="21" xr3:uid="{00000000-0010-0000-0000-000015000000}" name="outside_manufacturing_expenses"/>
    <tableColumn id="22" xr3:uid="{00000000-0010-0000-0000-000016000000}" name="production_cost"/>
    <tableColumn id="23" xr3:uid="{00000000-0010-0000-0000-000017000000}" name="rnd_expenses"/>
    <tableColumn id="24" xr3:uid="{00000000-0010-0000-0000-000018000000}" name="product_innovation"/>
    <tableColumn id="25" xr3:uid="{00000000-0010-0000-0000-000019000000}" name="process_innovation"/>
    <tableColumn id="26" xr3:uid="{00000000-0010-0000-0000-00001A000000}" name="net_income"/>
    <tableColumn id="27" xr3:uid="{00000000-0010-0000-0000-00001B000000}" name="total_equity"/>
    <tableColumn id="28" xr3:uid="{00000000-0010-0000-0000-00001C000000}" name="market_value_equity"/>
    <tableColumn id="29" xr3:uid="{00000000-0010-0000-0000-00001D000000}" name="total_liabilities"/>
    <tableColumn id="30" xr3:uid="{00000000-0010-0000-0000-00001E000000}" name="net_cfo"/>
    <tableColumn id="31" xr3:uid="{00000000-0010-0000-0000-00001F000000}" name="capex"/>
    <tableColumn id="32" xr3:uid="{00000000-0010-0000-0000-000020000000}" name="net_cfi"/>
    <tableColumn id="33" xr3:uid="{00000000-0010-0000-0000-000021000000}" name="cash_and_equivalents"/>
    <tableColumn id="34" xr3:uid="{00000000-0010-0000-0000-000022000000}" name="long_term_debt"/>
    <tableColumn id="35" xr3:uid="{00000000-0010-0000-0000-000023000000}" name="current_assets"/>
    <tableColumn id="36" xr3:uid="{00000000-0010-0000-0000-000024000000}" name="current_liabilities"/>
    <tableColumn id="37" xr3:uid="{00000000-0010-0000-0000-000025000000}" name="growth_ratio"/>
    <tableColumn id="38" xr3:uid="{00000000-0010-0000-0000-000026000000}" name="inventory"/>
    <tableColumn id="39" xr3:uid="{00000000-0010-0000-0000-000027000000}" name="dividend_cash_paid"/>
    <tableColumn id="40" xr3:uid="{00000000-0010-0000-0000-000028000000}" name="eps_basic"/>
    <tableColumn id="41" xr3:uid="{00000000-0010-0000-0000-000029000000}" name="employees_count"/>
    <tableColumn id="42" xr3:uid="{00000000-0010-0000-0000-00002A000000}" name="net_ppe"/>
    <tableColumn id="43" xr3:uid="{00000000-0010-0000-0000-00002B000000}" name="firm_age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00"/>
  <sheetViews>
    <sheetView tabSelected="1" workbookViewId="0">
      <pane xSplit="5" ySplit="1" topLeftCell="AN90" activePane="bottomRight" state="frozen"/>
      <selection pane="topRight" activeCell="F1" sqref="F1"/>
      <selection pane="bottomLeft" activeCell="A2" sqref="A2"/>
      <selection pane="bottomRight" activeCell="F18" sqref="F18"/>
    </sheetView>
  </sheetViews>
  <sheetFormatPr defaultColWidth="14.453125" defaultRowHeight="15" customHeight="1" x14ac:dyDescent="0.35"/>
  <cols>
    <col min="1" max="1" width="10.54296875" customWidth="1"/>
    <col min="2" max="2" width="35.54296875" hidden="1" customWidth="1"/>
    <col min="3" max="3" width="10.54296875" hidden="1" customWidth="1"/>
    <col min="4" max="4" width="4.6328125" hidden="1" customWidth="1"/>
    <col min="5" max="5" width="10.08984375" customWidth="1"/>
    <col min="6" max="15" width="21.54296875" customWidth="1"/>
    <col min="16" max="16" width="22.7265625" customWidth="1"/>
    <col min="17" max="43" width="21.54296875" customWidth="1"/>
  </cols>
  <sheetData>
    <row r="1" spans="1:43" ht="14.2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4" t="s">
        <v>15</v>
      </c>
      <c r="Q1" s="6" t="s">
        <v>16</v>
      </c>
      <c r="R1" s="4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6" t="s">
        <v>26</v>
      </c>
      <c r="AB1" s="4" t="s">
        <v>27</v>
      </c>
      <c r="AC1" s="6" t="s">
        <v>28</v>
      </c>
      <c r="AD1" s="4" t="s">
        <v>29</v>
      </c>
      <c r="AE1" s="4" t="s">
        <v>30</v>
      </c>
      <c r="AF1" s="4" t="s">
        <v>31</v>
      </c>
      <c r="AG1" s="6" t="s">
        <v>32</v>
      </c>
      <c r="AH1" s="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4" t="s">
        <v>42</v>
      </c>
    </row>
    <row r="2" spans="1:43" ht="17.25" customHeight="1" x14ac:dyDescent="0.35">
      <c r="A2" s="8" t="s">
        <v>43</v>
      </c>
      <c r="B2" s="8" t="s">
        <v>44</v>
      </c>
      <c r="C2" s="8" t="s">
        <v>45</v>
      </c>
      <c r="D2" s="9" t="s">
        <v>46</v>
      </c>
      <c r="E2" s="8">
        <v>2020</v>
      </c>
      <c r="F2" s="10">
        <v>2E-3</v>
      </c>
      <c r="G2" s="11">
        <v>0</v>
      </c>
      <c r="H2" s="10">
        <v>0.54510000000000003</v>
      </c>
      <c r="I2" s="10">
        <v>3.1600000000000003E-2</v>
      </c>
      <c r="J2" s="12">
        <v>221759974</v>
      </c>
      <c r="K2" s="13">
        <v>7428557015044</v>
      </c>
      <c r="L2" s="13">
        <v>8569414400908</v>
      </c>
      <c r="M2" s="13">
        <v>-255844520030</v>
      </c>
      <c r="N2" s="13">
        <v>-166965892910</v>
      </c>
      <c r="O2" s="14">
        <v>79741790556</v>
      </c>
      <c r="P2" s="15">
        <f>286329497570+477616387871+51808676852</f>
        <v>815754562293</v>
      </c>
      <c r="Q2" s="16">
        <v>310923164415</v>
      </c>
      <c r="R2" s="14">
        <v>2656949074635</v>
      </c>
      <c r="S2" s="17">
        <f>3207342182420+119782951846-156780119963</f>
        <v>3170345014303</v>
      </c>
      <c r="T2" s="15">
        <v>4970734580</v>
      </c>
      <c r="U2" s="14">
        <v>477616387871</v>
      </c>
      <c r="V2" s="14">
        <v>3866397674686</v>
      </c>
      <c r="W2" s="18" t="s">
        <v>47</v>
      </c>
      <c r="X2" s="19">
        <v>1</v>
      </c>
      <c r="Y2" s="18">
        <v>1</v>
      </c>
      <c r="Z2" s="13">
        <v>283172810679</v>
      </c>
      <c r="AA2" s="13">
        <v>4023962458501</v>
      </c>
      <c r="AB2" s="14">
        <v>3193343625600</v>
      </c>
      <c r="AC2" s="16">
        <v>4545451942407</v>
      </c>
      <c r="AD2" s="14">
        <v>612538718206</v>
      </c>
      <c r="AE2" s="14">
        <v>271433582812</v>
      </c>
      <c r="AF2" s="14">
        <v>34701081384</v>
      </c>
      <c r="AG2" s="13">
        <v>963717122052</v>
      </c>
      <c r="AH2" s="20">
        <v>772617081041</v>
      </c>
      <c r="AI2" s="13">
        <v>4496050828524</v>
      </c>
      <c r="AJ2" s="13">
        <v>3772834861366</v>
      </c>
      <c r="AK2" s="21">
        <v>-0.1983</v>
      </c>
      <c r="AL2" s="13">
        <v>946809379604</v>
      </c>
      <c r="AM2" s="15">
        <v>108671913000</v>
      </c>
      <c r="AN2" s="14">
        <v>1310</v>
      </c>
      <c r="AO2" s="22">
        <v>1950</v>
      </c>
      <c r="AP2" s="23">
        <v>2245284822658</v>
      </c>
      <c r="AQ2" s="18">
        <v>18</v>
      </c>
    </row>
    <row r="3" spans="1:43" ht="14.25" customHeight="1" x14ac:dyDescent="0.35">
      <c r="A3" s="8" t="s">
        <v>43</v>
      </c>
      <c r="B3" s="8" t="s">
        <v>44</v>
      </c>
      <c r="C3" s="8" t="s">
        <v>45</v>
      </c>
      <c r="D3" s="9" t="s">
        <v>46</v>
      </c>
      <c r="E3" s="8">
        <v>2021</v>
      </c>
      <c r="F3" s="24">
        <v>0</v>
      </c>
      <c r="G3" s="25">
        <v>0</v>
      </c>
      <c r="H3" s="26">
        <v>0.51100000000000001</v>
      </c>
      <c r="I3" s="26">
        <v>2.2100000000000002E-2</v>
      </c>
      <c r="J3" s="27">
        <v>326434496</v>
      </c>
      <c r="K3" s="13">
        <v>13143109864001</v>
      </c>
      <c r="L3" s="13">
        <v>10009526635291</v>
      </c>
      <c r="M3" s="13">
        <v>-738538104564</v>
      </c>
      <c r="N3" s="28">
        <v>-194751557339</v>
      </c>
      <c r="O3" s="27">
        <v>78420099468</v>
      </c>
      <c r="P3" s="13">
        <f>4991975871175-2668776017829-450002175543</f>
        <v>1873197677803</v>
      </c>
      <c r="Q3" s="13">
        <v>405101528404</v>
      </c>
      <c r="R3" s="29">
        <v>2668776017829</v>
      </c>
      <c r="S3" s="29">
        <f>7552979875841+374703440615-119782951846</f>
        <v>7807900364610</v>
      </c>
      <c r="T3" s="29">
        <v>6259366872</v>
      </c>
      <c r="U3" s="29">
        <v>1497882808858</v>
      </c>
      <c r="V3" s="29">
        <v>4991975871175</v>
      </c>
      <c r="W3" s="18" t="s">
        <v>47</v>
      </c>
      <c r="X3" s="18">
        <v>1</v>
      </c>
      <c r="Y3" s="18">
        <v>1</v>
      </c>
      <c r="Z3" s="13">
        <v>324143024419</v>
      </c>
      <c r="AA3" s="13">
        <v>5454381737050</v>
      </c>
      <c r="AB3" s="29">
        <f>326434496 * 20200</f>
        <v>6593976819200</v>
      </c>
      <c r="AC3" s="13">
        <v>4555144898241</v>
      </c>
      <c r="AD3" s="27">
        <v>443620282772</v>
      </c>
      <c r="AE3" s="27">
        <v>668611230534</v>
      </c>
      <c r="AF3" s="27">
        <v>150390199871</v>
      </c>
      <c r="AG3" s="13">
        <v>1988170740182</v>
      </c>
      <c r="AH3" s="23">
        <v>1272805478684</v>
      </c>
      <c r="AI3" s="13">
        <v>5354610509760</v>
      </c>
      <c r="AJ3" s="13">
        <v>3282339419557</v>
      </c>
      <c r="AK3" s="21">
        <f>(13142109864001-7428557015044)/7428557015044</f>
        <v>0.76913360661917973</v>
      </c>
      <c r="AL3" s="13">
        <v>997384835429</v>
      </c>
      <c r="AM3" s="27">
        <v>148545935501</v>
      </c>
      <c r="AN3" s="8">
        <v>994</v>
      </c>
      <c r="AO3" s="22">
        <v>1750</v>
      </c>
      <c r="AP3" s="23">
        <v>2022419512484</v>
      </c>
      <c r="AQ3" s="18">
        <v>19</v>
      </c>
    </row>
    <row r="4" spans="1:43" ht="14.25" customHeight="1" x14ac:dyDescent="0.35">
      <c r="A4" s="8" t="s">
        <v>43</v>
      </c>
      <c r="B4" s="8" t="s">
        <v>44</v>
      </c>
      <c r="C4" s="8" t="s">
        <v>45</v>
      </c>
      <c r="D4" s="9" t="s">
        <v>46</v>
      </c>
      <c r="E4" s="8">
        <v>2022</v>
      </c>
      <c r="F4" s="26">
        <v>6.4999999999999997E-3</v>
      </c>
      <c r="G4" s="30">
        <v>0</v>
      </c>
      <c r="H4" s="10">
        <v>0.54500000000000004</v>
      </c>
      <c r="I4" s="10">
        <v>1.9E-2</v>
      </c>
      <c r="J4" s="27">
        <v>382274496</v>
      </c>
      <c r="K4" s="13">
        <v>15290297073087</v>
      </c>
      <c r="L4" s="13">
        <v>10795832681712</v>
      </c>
      <c r="M4" s="13">
        <v>-666097260650</v>
      </c>
      <c r="N4" s="28">
        <v>-247607549844</v>
      </c>
      <c r="O4" s="14">
        <v>77426239462</v>
      </c>
      <c r="P4" s="14">
        <f>5338577537178-3069898300282-475262677674</f>
        <v>1793416559222</v>
      </c>
      <c r="Q4" s="16">
        <v>187294170069</v>
      </c>
      <c r="R4" s="14">
        <v>3069898300282</v>
      </c>
      <c r="S4" s="14">
        <f>9970902792660+714320276134-374703110615</f>
        <v>10310519958179</v>
      </c>
      <c r="T4" s="14">
        <v>5114654886</v>
      </c>
      <c r="U4" s="14">
        <v>1421633870086</v>
      </c>
      <c r="V4" s="14">
        <v>5338577537178</v>
      </c>
      <c r="W4" s="18" t="s">
        <v>47</v>
      </c>
      <c r="X4" s="18">
        <v>1</v>
      </c>
      <c r="Y4" s="18">
        <v>1</v>
      </c>
      <c r="Z4" s="27">
        <v>117291267937</v>
      </c>
      <c r="AA4" s="13">
        <v>6171185417465</v>
      </c>
      <c r="AB4" s="14">
        <f>382274496*6830</f>
        <v>2610934807680</v>
      </c>
      <c r="AC4" s="13">
        <v>4624647264247</v>
      </c>
      <c r="AD4" s="14">
        <v>97095210426</v>
      </c>
      <c r="AE4" s="14">
        <v>168326440417</v>
      </c>
      <c r="AF4" s="14">
        <v>1093758714092</v>
      </c>
      <c r="AG4" s="27">
        <v>1642978052440</v>
      </c>
      <c r="AH4" s="23">
        <v>1418164667209</v>
      </c>
      <c r="AI4" s="13">
        <v>5658759199548</v>
      </c>
      <c r="AJ4" s="13">
        <v>3206482597038</v>
      </c>
      <c r="AK4" s="21">
        <f>(15290297073087-13143109864001)/13143109864001</f>
        <v>0.1633697984194098</v>
      </c>
      <c r="AL4" s="13">
        <v>1790091357848</v>
      </c>
      <c r="AM4" s="14">
        <v>152250000</v>
      </c>
      <c r="AN4" s="31">
        <v>433</v>
      </c>
      <c r="AO4" s="27">
        <v>1689</v>
      </c>
      <c r="AP4" s="23">
        <v>2000004299809</v>
      </c>
      <c r="AQ4" s="18">
        <v>20</v>
      </c>
    </row>
    <row r="5" spans="1:43" ht="14.25" customHeight="1" x14ac:dyDescent="0.35">
      <c r="A5" s="8" t="s">
        <v>43</v>
      </c>
      <c r="B5" s="8" t="s">
        <v>44</v>
      </c>
      <c r="C5" s="8" t="s">
        <v>45</v>
      </c>
      <c r="D5" s="9" t="s">
        <v>46</v>
      </c>
      <c r="E5" s="8">
        <v>2023</v>
      </c>
      <c r="F5" s="32">
        <v>5.0000000000000001E-4</v>
      </c>
      <c r="G5" s="33">
        <v>0</v>
      </c>
      <c r="H5" s="32">
        <v>0.54500000000000004</v>
      </c>
      <c r="I5" s="32">
        <v>1.9E-2</v>
      </c>
      <c r="J5" s="34">
        <v>382274496</v>
      </c>
      <c r="K5" s="13">
        <v>12621514144947</v>
      </c>
      <c r="L5" s="13">
        <v>11583445505916</v>
      </c>
      <c r="M5" s="27">
        <v>-511055878824</v>
      </c>
      <c r="N5" s="28">
        <v>-285281847427</v>
      </c>
      <c r="O5" s="34">
        <v>149114480438</v>
      </c>
      <c r="P5" s="13">
        <f>330970771702+928169494119+57802820587</f>
        <v>1316943086408</v>
      </c>
      <c r="Q5" s="13">
        <v>368683501946</v>
      </c>
      <c r="R5" s="34">
        <v>2800707358277</v>
      </c>
      <c r="S5" s="34">
        <f>7466971766178+105829648718-714320276134</f>
        <v>6858481138762</v>
      </c>
      <c r="T5" s="34">
        <v>5588020358</v>
      </c>
      <c r="U5" s="34">
        <v>928159494119</v>
      </c>
      <c r="V5" s="34">
        <v>4650156191402</v>
      </c>
      <c r="W5" s="18" t="s">
        <v>47</v>
      </c>
      <c r="X5" s="18">
        <v>1</v>
      </c>
      <c r="Y5" s="18">
        <v>1</v>
      </c>
      <c r="Z5" s="27">
        <v>309193823134</v>
      </c>
      <c r="AA5" s="13">
        <v>5963870940230</v>
      </c>
      <c r="AB5" s="34">
        <f>9450*382274496</f>
        <v>3612493987200</v>
      </c>
      <c r="AC5" s="13">
        <v>5619574565686</v>
      </c>
      <c r="AD5" s="34">
        <v>2615215818513</v>
      </c>
      <c r="AE5" s="34">
        <v>643183016027</v>
      </c>
      <c r="AF5" s="34">
        <v>1599360204270</v>
      </c>
      <c r="AG5" s="13">
        <v>2435058282483</v>
      </c>
      <c r="AH5" s="23">
        <v>1882533378229</v>
      </c>
      <c r="AI5" s="13">
        <v>5681580248153</v>
      </c>
      <c r="AJ5" s="13">
        <v>3737041187457</v>
      </c>
      <c r="AK5" s="21">
        <v>-0.1754</v>
      </c>
      <c r="AL5" s="13">
        <v>781680229197</v>
      </c>
      <c r="AM5" s="34">
        <v>127343500</v>
      </c>
      <c r="AN5" s="35">
        <v>757</v>
      </c>
      <c r="AO5" s="34">
        <v>1684</v>
      </c>
      <c r="AP5" s="23">
        <v>1863866579072</v>
      </c>
      <c r="AQ5" s="18">
        <v>21</v>
      </c>
    </row>
    <row r="6" spans="1:43" ht="14.25" customHeight="1" x14ac:dyDescent="0.35">
      <c r="A6" s="8" t="s">
        <v>43</v>
      </c>
      <c r="B6" s="8" t="s">
        <v>44</v>
      </c>
      <c r="C6" s="8" t="s">
        <v>45</v>
      </c>
      <c r="D6" s="9" t="s">
        <v>46</v>
      </c>
      <c r="E6" s="36">
        <v>2024</v>
      </c>
      <c r="F6" s="10">
        <v>0</v>
      </c>
      <c r="G6" s="11">
        <v>0</v>
      </c>
      <c r="H6" s="10">
        <v>0.51170000000000004</v>
      </c>
      <c r="I6" s="10">
        <v>7.6300000000000007E-2</v>
      </c>
      <c r="J6" s="14">
        <v>382274496</v>
      </c>
      <c r="K6" s="13">
        <v>12782230561048</v>
      </c>
      <c r="L6" s="13">
        <v>13768215584455</v>
      </c>
      <c r="M6" s="27">
        <v>-716779456478</v>
      </c>
      <c r="N6" s="28">
        <v>-380383295396</v>
      </c>
      <c r="O6" s="14">
        <v>143917892653</v>
      </c>
      <c r="P6" s="14">
        <v>1804206392983</v>
      </c>
      <c r="Q6" s="13">
        <v>513663157658</v>
      </c>
      <c r="R6" s="14">
        <v>3578290536553</v>
      </c>
      <c r="S6" s="14">
        <f>6487726226868+127124795552-105829648718</f>
        <v>6509021373702</v>
      </c>
      <c r="T6" s="14">
        <v>55899220344</v>
      </c>
      <c r="U6" s="14">
        <v>1308551757178</v>
      </c>
      <c r="V6" s="14">
        <v>6036585699296</v>
      </c>
      <c r="W6" s="14" t="s">
        <v>47</v>
      </c>
      <c r="X6" s="18">
        <v>1</v>
      </c>
      <c r="Y6" s="18">
        <v>1</v>
      </c>
      <c r="Z6" s="13">
        <v>319781840731</v>
      </c>
      <c r="AA6" s="13">
        <v>6236273953200</v>
      </c>
      <c r="AB6" s="14">
        <v>3333000000000</v>
      </c>
      <c r="AC6" s="13">
        <v>7531941631255</v>
      </c>
      <c r="AD6" s="14">
        <v>958913854214</v>
      </c>
      <c r="AE6" s="14">
        <v>1038116320099</v>
      </c>
      <c r="AF6" s="14">
        <v>1415216102189</v>
      </c>
      <c r="AG6" s="16">
        <v>2419517905105</v>
      </c>
      <c r="AH6" s="37">
        <v>3399347312245</v>
      </c>
      <c r="AI6" s="13">
        <v>6426369244563</v>
      </c>
      <c r="AJ6" s="13">
        <v>4132594319010</v>
      </c>
      <c r="AK6" s="21">
        <v>1.26E-2</v>
      </c>
      <c r="AL6" s="13">
        <v>1286443372106</v>
      </c>
      <c r="AM6" s="14">
        <v>10532850000</v>
      </c>
      <c r="AN6" s="31">
        <v>964</v>
      </c>
      <c r="AO6" s="14">
        <v>1673</v>
      </c>
      <c r="AP6" s="23">
        <v>2836544208665</v>
      </c>
      <c r="AQ6" s="18">
        <v>22</v>
      </c>
    </row>
    <row r="7" spans="1:43" ht="14.25" customHeight="1" x14ac:dyDescent="0.35">
      <c r="A7" s="8" t="s">
        <v>48</v>
      </c>
      <c r="B7" s="8" t="s">
        <v>49</v>
      </c>
      <c r="C7" s="8" t="s">
        <v>45</v>
      </c>
      <c r="D7" s="9" t="s">
        <v>50</v>
      </c>
      <c r="E7" s="8">
        <v>2020</v>
      </c>
      <c r="F7" s="32">
        <v>0.51270000000000004</v>
      </c>
      <c r="G7" s="33">
        <v>0</v>
      </c>
      <c r="H7" s="32">
        <v>5.1999999999999998E-2</v>
      </c>
      <c r="I7" s="32">
        <v>2.1399999999999999E-2</v>
      </c>
      <c r="J7" s="34">
        <v>127132860</v>
      </c>
      <c r="K7" s="13">
        <v>3438664359684</v>
      </c>
      <c r="L7" s="13">
        <v>4834079659323</v>
      </c>
      <c r="M7" s="13">
        <v>-185263413739</v>
      </c>
      <c r="N7" s="28">
        <v>-56561834630</v>
      </c>
      <c r="O7" s="34">
        <v>314302567002</v>
      </c>
      <c r="P7" s="34">
        <f>89772285186+418897119807+87069487759</f>
        <v>595738892752</v>
      </c>
      <c r="Q7" s="13">
        <v>205457805484</v>
      </c>
      <c r="R7" s="34">
        <v>2650305710103</v>
      </c>
      <c r="S7" s="34">
        <v>0</v>
      </c>
      <c r="T7" s="34">
        <v>125305710103</v>
      </c>
      <c r="U7" s="34">
        <v>418897119807</v>
      </c>
      <c r="V7" s="34">
        <v>3096528550000</v>
      </c>
      <c r="W7" s="18" t="s">
        <v>47</v>
      </c>
      <c r="X7" s="18">
        <v>1</v>
      </c>
      <c r="Y7" s="18">
        <v>1</v>
      </c>
      <c r="Z7" s="13">
        <v>202170290929</v>
      </c>
      <c r="AA7" s="13">
        <v>2333974303420</v>
      </c>
      <c r="AB7" s="34">
        <v>2800000000000</v>
      </c>
      <c r="AC7" s="13">
        <v>2500105355903</v>
      </c>
      <c r="AD7" s="34">
        <v>550705710103</v>
      </c>
      <c r="AE7" s="34">
        <v>350305710103</v>
      </c>
      <c r="AF7" s="34">
        <v>250305710103</v>
      </c>
      <c r="AG7" s="13">
        <v>43798851185</v>
      </c>
      <c r="AH7" s="23">
        <v>161111162386</v>
      </c>
      <c r="AI7" s="13">
        <v>2783810065611</v>
      </c>
      <c r="AJ7" s="13">
        <v>2338994193517</v>
      </c>
      <c r="AK7" s="21">
        <v>-0.23050000000000001</v>
      </c>
      <c r="AL7" s="13">
        <v>1904336768761</v>
      </c>
      <c r="AM7" s="34">
        <v>127132860000</v>
      </c>
      <c r="AN7" s="34">
        <v>1590</v>
      </c>
      <c r="AO7" s="34">
        <v>3439</v>
      </c>
      <c r="AP7" s="23">
        <v>590793439988</v>
      </c>
      <c r="AQ7" s="35">
        <v>27</v>
      </c>
    </row>
    <row r="8" spans="1:43" ht="14.25" customHeight="1" x14ac:dyDescent="0.35">
      <c r="A8" s="8" t="s">
        <v>48</v>
      </c>
      <c r="B8" s="8" t="s">
        <v>49</v>
      </c>
      <c r="C8" s="8" t="s">
        <v>45</v>
      </c>
      <c r="D8" s="9" t="s">
        <v>50</v>
      </c>
      <c r="E8" s="8">
        <v>2021</v>
      </c>
      <c r="F8" s="10">
        <v>0.75490000000000002</v>
      </c>
      <c r="G8" s="11">
        <v>0</v>
      </c>
      <c r="H8" s="10">
        <v>3.4599999999999999E-2</v>
      </c>
      <c r="I8" s="10">
        <v>1.9300000000000001E-2</v>
      </c>
      <c r="J8" s="14">
        <v>127132860</v>
      </c>
      <c r="K8" s="13">
        <v>3493926321274</v>
      </c>
      <c r="L8" s="13">
        <v>4887179840940</v>
      </c>
      <c r="M8" s="13">
        <v>-280956940056</v>
      </c>
      <c r="N8" s="28">
        <v>-56474052865</v>
      </c>
      <c r="O8" s="14">
        <v>30569117842</v>
      </c>
      <c r="P8" s="14">
        <f>492945242041+122889821438+58213169868</f>
        <v>674048233347</v>
      </c>
      <c r="Q8" s="13">
        <v>141672290422</v>
      </c>
      <c r="R8" s="13">
        <v>2115549431144</v>
      </c>
      <c r="S8" s="14">
        <v>0</v>
      </c>
      <c r="T8" s="14">
        <v>151848175753</v>
      </c>
      <c r="U8" s="14">
        <f>492945242041</f>
        <v>492945242041</v>
      </c>
      <c r="V8" s="14">
        <v>2474376997280</v>
      </c>
      <c r="W8" s="18" t="s">
        <v>47</v>
      </c>
      <c r="X8" s="18">
        <v>1</v>
      </c>
      <c r="Y8" s="18">
        <v>1</v>
      </c>
      <c r="Z8" s="13">
        <v>128739197732</v>
      </c>
      <c r="AA8" s="13">
        <v>2335585626152</v>
      </c>
      <c r="AB8" s="14">
        <v>4449650100000</v>
      </c>
      <c r="AC8" s="13">
        <v>2551594214788</v>
      </c>
      <c r="AD8" s="14">
        <v>225326330347</v>
      </c>
      <c r="AE8" s="14">
        <v>313344060552</v>
      </c>
      <c r="AF8" s="14">
        <v>300992515689</v>
      </c>
      <c r="AG8" s="13">
        <v>42701081617</v>
      </c>
      <c r="AH8" s="23">
        <v>215078335270</v>
      </c>
      <c r="AI8" s="13">
        <v>2916543313685</v>
      </c>
      <c r="AJ8" s="13">
        <v>2336515879518</v>
      </c>
      <c r="AK8" s="21">
        <v>7.7000000000000002E-3</v>
      </c>
      <c r="AL8" s="13">
        <v>1783465697424</v>
      </c>
      <c r="AM8" s="14">
        <v>126659004000</v>
      </c>
      <c r="AN8" s="14">
        <v>1013</v>
      </c>
      <c r="AO8" s="14">
        <v>2181</v>
      </c>
      <c r="AP8" s="23">
        <v>533401717110</v>
      </c>
      <c r="AQ8" s="18">
        <v>28</v>
      </c>
    </row>
    <row r="9" spans="1:43" ht="14.25" customHeight="1" x14ac:dyDescent="0.35">
      <c r="A9" s="8" t="s">
        <v>48</v>
      </c>
      <c r="B9" s="8" t="s">
        <v>49</v>
      </c>
      <c r="C9" s="8" t="s">
        <v>45</v>
      </c>
      <c r="D9" s="9" t="s">
        <v>50</v>
      </c>
      <c r="E9" s="8">
        <v>2022</v>
      </c>
      <c r="F9" s="32">
        <v>0.72389999999999999</v>
      </c>
      <c r="G9" s="33">
        <v>0</v>
      </c>
      <c r="H9" s="32">
        <v>3.3999999999999998E-3</v>
      </c>
      <c r="I9" s="32">
        <v>4.4499999999999998E-2</v>
      </c>
      <c r="J9" s="34">
        <v>133117163</v>
      </c>
      <c r="K9" s="13">
        <v>4896647040438</v>
      </c>
      <c r="L9" s="27">
        <v>5467653137750</v>
      </c>
      <c r="M9" s="13">
        <v>-378198470565</v>
      </c>
      <c r="N9" s="28">
        <v>-94215760513</v>
      </c>
      <c r="O9" s="34">
        <v>28004346104</v>
      </c>
      <c r="P9" s="34">
        <f>121250075110+690031024784+107682931030</f>
        <v>918964030924</v>
      </c>
      <c r="Q9" s="13">
        <v>754586838991</v>
      </c>
      <c r="R9" s="34">
        <v>2434612302260</v>
      </c>
      <c r="S9" s="34">
        <v>0</v>
      </c>
      <c r="T9" s="34">
        <v>272261352090</v>
      </c>
      <c r="U9" s="34">
        <v>690031024784</v>
      </c>
      <c r="V9" s="34">
        <v>2870090568</v>
      </c>
      <c r="W9" s="18" t="s">
        <v>47</v>
      </c>
      <c r="X9" s="18">
        <v>1</v>
      </c>
      <c r="Y9" s="18">
        <v>1</v>
      </c>
      <c r="Z9" s="13">
        <v>673745234347</v>
      </c>
      <c r="AA9" s="13">
        <v>2882202985499</v>
      </c>
      <c r="AB9" s="34">
        <v>4259749216000</v>
      </c>
      <c r="AC9" s="13">
        <v>2585450152251</v>
      </c>
      <c r="AD9" s="34">
        <v>102574619469</v>
      </c>
      <c r="AE9" s="34">
        <v>33328675247</v>
      </c>
      <c r="AF9" s="34">
        <v>27426611834</v>
      </c>
      <c r="AG9" s="13">
        <v>31053714794</v>
      </c>
      <c r="AH9" s="23">
        <v>167941117026</v>
      </c>
      <c r="AI9" s="13">
        <v>3255100959692</v>
      </c>
      <c r="AJ9" s="13">
        <v>2417509035225</v>
      </c>
      <c r="AK9" s="21">
        <v>0.40810000000000002</v>
      </c>
      <c r="AL9" s="13">
        <v>2342074989779</v>
      </c>
      <c r="AM9" s="34">
        <v>127127875000</v>
      </c>
      <c r="AN9" s="34">
        <v>5300</v>
      </c>
      <c r="AO9" s="34">
        <v>2212</v>
      </c>
      <c r="AP9" s="23">
        <v>495896129101</v>
      </c>
      <c r="AQ9" s="18">
        <v>29</v>
      </c>
    </row>
    <row r="10" spans="1:43" ht="14.25" customHeight="1" x14ac:dyDescent="0.35">
      <c r="A10" s="8" t="s">
        <v>48</v>
      </c>
      <c r="B10" s="8" t="s">
        <v>49</v>
      </c>
      <c r="C10" s="8" t="s">
        <v>45</v>
      </c>
      <c r="D10" s="9" t="s">
        <v>50</v>
      </c>
      <c r="E10" s="8">
        <v>2023</v>
      </c>
      <c r="F10" s="38">
        <v>0.78549999999999998</v>
      </c>
      <c r="G10" s="11">
        <v>0</v>
      </c>
      <c r="H10" s="10">
        <v>5.0999999999999997E-2</v>
      </c>
      <c r="I10" s="10">
        <v>4.3799999999999999E-2</v>
      </c>
      <c r="J10" s="14">
        <v>133127875</v>
      </c>
      <c r="K10" s="13">
        <v>4439122632880</v>
      </c>
      <c r="L10" s="13">
        <v>5112670123139</v>
      </c>
      <c r="M10" s="13">
        <v>-188416893163</v>
      </c>
      <c r="N10" s="28">
        <v>-75715825411</v>
      </c>
      <c r="O10" s="14">
        <v>346446128137</v>
      </c>
      <c r="P10" s="14">
        <v>910764576717</v>
      </c>
      <c r="Q10" s="13">
        <v>46823694335</v>
      </c>
      <c r="R10" s="14">
        <v>7264602850822</v>
      </c>
      <c r="S10" s="18">
        <v>0</v>
      </c>
      <c r="T10" s="14">
        <v>948001566814</v>
      </c>
      <c r="U10" s="14">
        <v>708708182617</v>
      </c>
      <c r="V10" s="14">
        <v>8862982426056</v>
      </c>
      <c r="W10" s="18" t="s">
        <v>47</v>
      </c>
      <c r="X10" s="18">
        <v>1</v>
      </c>
      <c r="Y10" s="18">
        <v>1</v>
      </c>
      <c r="Z10" s="13">
        <v>39191645110</v>
      </c>
      <c r="AA10" s="13">
        <v>2847866755609</v>
      </c>
      <c r="AB10" s="14">
        <v>4126964125000</v>
      </c>
      <c r="AC10" s="13">
        <v>2264803367530</v>
      </c>
      <c r="AD10" s="14">
        <v>81705978889</v>
      </c>
      <c r="AE10" s="14">
        <v>44348474940</v>
      </c>
      <c r="AF10" s="14">
        <v>416246326371</v>
      </c>
      <c r="AG10" s="13">
        <v>39671072278</v>
      </c>
      <c r="AH10" s="23">
        <v>161689807769</v>
      </c>
      <c r="AI10" s="13">
        <v>2950604371240</v>
      </c>
      <c r="AJ10" s="13">
        <v>2103113559761</v>
      </c>
      <c r="AK10" s="21">
        <v>-9.5799999999999996E-2</v>
      </c>
      <c r="AL10" s="13">
        <v>2363664839934</v>
      </c>
      <c r="AM10" s="14">
        <v>218556413606</v>
      </c>
      <c r="AN10" s="31">
        <v>293</v>
      </c>
      <c r="AO10" s="14">
        <v>2162</v>
      </c>
      <c r="AP10" s="23">
        <v>324927270134</v>
      </c>
      <c r="AQ10" s="18">
        <v>30</v>
      </c>
    </row>
    <row r="11" spans="1:43" ht="14.25" customHeight="1" x14ac:dyDescent="0.35">
      <c r="A11" s="8" t="s">
        <v>48</v>
      </c>
      <c r="B11" s="8" t="s">
        <v>49</v>
      </c>
      <c r="C11" s="8" t="s">
        <v>45</v>
      </c>
      <c r="D11" s="9" t="s">
        <v>50</v>
      </c>
      <c r="E11" s="8">
        <v>2024</v>
      </c>
      <c r="F11" s="32">
        <v>0.66879999999999995</v>
      </c>
      <c r="G11" s="33">
        <v>0</v>
      </c>
      <c r="H11" s="32">
        <v>2.3400000000000001E-2</v>
      </c>
      <c r="I11" s="32">
        <v>7.3700000000000002E-2</v>
      </c>
      <c r="J11" s="34">
        <v>133127875</v>
      </c>
      <c r="K11" s="13">
        <v>4911265972913</v>
      </c>
      <c r="L11" s="13">
        <v>4862270517905</v>
      </c>
      <c r="M11" s="13">
        <v>-280323845208</v>
      </c>
      <c r="N11" s="28">
        <v>-85814451161</v>
      </c>
      <c r="O11" s="34">
        <v>340291311111</v>
      </c>
      <c r="P11" s="34">
        <f>117193982583+936689213006+91358687649</f>
        <v>1145241883238</v>
      </c>
      <c r="Q11" s="13">
        <v>119281689339</v>
      </c>
      <c r="R11" s="34">
        <v>7778531417938</v>
      </c>
      <c r="S11" s="34">
        <v>0</v>
      </c>
      <c r="T11" s="34">
        <v>948001566814</v>
      </c>
      <c r="U11" s="13">
        <v>936689213006</v>
      </c>
      <c r="V11" s="34">
        <v>9740248128087</v>
      </c>
      <c r="W11" s="18" t="s">
        <v>47</v>
      </c>
      <c r="X11" s="18">
        <v>1</v>
      </c>
      <c r="Y11" s="18">
        <v>1</v>
      </c>
      <c r="Z11" s="13">
        <v>47832173647</v>
      </c>
      <c r="AA11" s="13">
        <v>2796693826269</v>
      </c>
      <c r="AB11" s="34">
        <v>3993836250000</v>
      </c>
      <c r="AC11" s="13">
        <v>2065576691636</v>
      </c>
      <c r="AD11" s="34">
        <v>394205315</v>
      </c>
      <c r="AE11" s="34">
        <v>210258315036</v>
      </c>
      <c r="AF11" s="34">
        <v>35791129807</v>
      </c>
      <c r="AG11" s="13">
        <v>219090199195</v>
      </c>
      <c r="AH11" s="23">
        <v>124953903065</v>
      </c>
      <c r="AI11" s="13">
        <v>2585543414472</v>
      </c>
      <c r="AJ11" s="13">
        <v>1940622788571</v>
      </c>
      <c r="AK11" s="21">
        <v>0.107</v>
      </c>
      <c r="AL11" s="13">
        <v>1683573590902</v>
      </c>
      <c r="AM11" s="34">
        <v>108135816893</v>
      </c>
      <c r="AN11" s="35">
        <v>179</v>
      </c>
      <c r="AO11" s="34">
        <v>2277</v>
      </c>
      <c r="AP11" s="23">
        <v>311948526359</v>
      </c>
      <c r="AQ11" s="18">
        <v>31</v>
      </c>
    </row>
    <row r="12" spans="1:43" ht="14.25" customHeight="1" x14ac:dyDescent="0.35">
      <c r="A12" s="8" t="s">
        <v>51</v>
      </c>
      <c r="B12" s="8" t="s">
        <v>52</v>
      </c>
      <c r="C12" s="8" t="s">
        <v>45</v>
      </c>
      <c r="D12" s="9" t="s">
        <v>46</v>
      </c>
      <c r="E12" s="8">
        <v>2020</v>
      </c>
      <c r="F12" s="10">
        <v>3.0999999999999999E-3</v>
      </c>
      <c r="G12" s="10">
        <v>0.65</v>
      </c>
      <c r="H12" s="10">
        <v>0.71879999999999999</v>
      </c>
      <c r="I12" s="10">
        <v>4.3200000000000002E-2</v>
      </c>
      <c r="J12" s="14">
        <v>57167993</v>
      </c>
      <c r="K12" s="27">
        <v>5418392614443</v>
      </c>
      <c r="L12" s="27">
        <v>3056695013113</v>
      </c>
      <c r="M12" s="27">
        <v>-309734470623</v>
      </c>
      <c r="N12" s="27">
        <v>-148482664003</v>
      </c>
      <c r="O12" s="14">
        <v>232015051990</v>
      </c>
      <c r="P12" s="14">
        <v>577590664318</v>
      </c>
      <c r="Q12" s="27">
        <v>197857097611</v>
      </c>
      <c r="R12" s="14">
        <v>4346143683290</v>
      </c>
      <c r="S12" s="22">
        <f>4663281634179+12061518565-10586748134</f>
        <v>4664756404610</v>
      </c>
      <c r="T12" s="14">
        <v>38732406152</v>
      </c>
      <c r="U12" s="14">
        <v>494113223516</v>
      </c>
      <c r="V12" s="14">
        <v>5188768681625</v>
      </c>
      <c r="W12" s="18" t="s">
        <v>47</v>
      </c>
      <c r="X12" s="18">
        <v>1</v>
      </c>
      <c r="Y12" s="18">
        <v>1</v>
      </c>
      <c r="Z12" s="27">
        <v>165939687155</v>
      </c>
      <c r="AA12" s="27">
        <v>1207250210992</v>
      </c>
      <c r="AB12" s="14">
        <v>874670292900</v>
      </c>
      <c r="AC12" s="27">
        <v>1849444802121</v>
      </c>
      <c r="AD12" s="14">
        <v>449679618369</v>
      </c>
      <c r="AE12" s="14">
        <v>88110271349</v>
      </c>
      <c r="AF12" s="14">
        <v>14963121874</v>
      </c>
      <c r="AG12" s="27">
        <v>419558739639</v>
      </c>
      <c r="AH12" s="37">
        <v>114776350049</v>
      </c>
      <c r="AI12" s="27">
        <v>2209650012192</v>
      </c>
      <c r="AJ12" s="27">
        <v>1734668452072</v>
      </c>
      <c r="AK12" s="26">
        <v>-0.1135</v>
      </c>
      <c r="AL12" s="27">
        <v>1184666131961</v>
      </c>
      <c r="AM12" s="14">
        <v>94417363600</v>
      </c>
      <c r="AN12" s="14">
        <v>2097</v>
      </c>
      <c r="AO12" s="14">
        <v>1245</v>
      </c>
      <c r="AP12" s="37">
        <v>528181039366</v>
      </c>
      <c r="AQ12" s="18">
        <v>47</v>
      </c>
    </row>
    <row r="13" spans="1:43" ht="14.25" customHeight="1" x14ac:dyDescent="0.35">
      <c r="A13" s="8" t="s">
        <v>51</v>
      </c>
      <c r="B13" s="8" t="s">
        <v>52</v>
      </c>
      <c r="C13" s="8" t="s">
        <v>45</v>
      </c>
      <c r="D13" s="9" t="s">
        <v>46</v>
      </c>
      <c r="E13" s="8">
        <v>2021</v>
      </c>
      <c r="F13" s="32">
        <v>3.0799999999999998E-3</v>
      </c>
      <c r="G13" s="32">
        <v>0.65</v>
      </c>
      <c r="H13" s="32">
        <v>0.71040000000000003</v>
      </c>
      <c r="I13" s="32">
        <v>3.7999999999999999E-2</v>
      </c>
      <c r="J13" s="34">
        <v>57167993</v>
      </c>
      <c r="K13" s="27">
        <v>7742796484313</v>
      </c>
      <c r="L13" s="27">
        <v>3854080063879</v>
      </c>
      <c r="M13" s="27">
        <v>-291714253578</v>
      </c>
      <c r="N13" s="27">
        <v>-164574775238</v>
      </c>
      <c r="O13" s="34">
        <v>230849111854</v>
      </c>
      <c r="P13" s="34">
        <v>612824060221</v>
      </c>
      <c r="Q13" s="27">
        <v>368698784469</v>
      </c>
      <c r="R13" s="34">
        <v>6694882088267</v>
      </c>
      <c r="S13" s="22">
        <f>6837873044540+16287048727-12061518565</f>
        <v>6842098574702</v>
      </c>
      <c r="T13" s="34">
        <v>87620965761</v>
      </c>
      <c r="U13" s="34">
        <v>519679202211</v>
      </c>
      <c r="V13" s="34">
        <v>7650890329568</v>
      </c>
      <c r="W13" s="18" t="s">
        <v>47</v>
      </c>
      <c r="X13" s="18">
        <v>1</v>
      </c>
      <c r="Y13" s="18">
        <v>1</v>
      </c>
      <c r="Z13" s="27">
        <v>296756528445</v>
      </c>
      <c r="AA13" s="27">
        <v>1361970799580</v>
      </c>
      <c r="AB13" s="34">
        <v>2046614149400</v>
      </c>
      <c r="AC13" s="27">
        <v>2492109264299</v>
      </c>
      <c r="AD13" s="34">
        <v>259898601908</v>
      </c>
      <c r="AE13" s="34">
        <v>69483804797</v>
      </c>
      <c r="AF13" s="34">
        <v>50892473133</v>
      </c>
      <c r="AG13" s="27">
        <v>243941623517</v>
      </c>
      <c r="AH13" s="37">
        <v>50966641866</v>
      </c>
      <c r="AI13" s="27">
        <v>3044872410581</v>
      </c>
      <c r="AJ13" s="27">
        <v>2441142622433</v>
      </c>
      <c r="AK13" s="26">
        <v>0.4274</v>
      </c>
      <c r="AL13" s="27">
        <v>2534995187662</v>
      </c>
      <c r="AM13" s="34">
        <v>134407368500</v>
      </c>
      <c r="AN13" s="34">
        <v>3457</v>
      </c>
      <c r="AO13" s="34">
        <v>1234</v>
      </c>
      <c r="AP13" s="37">
        <v>516723036889</v>
      </c>
      <c r="AQ13" s="18">
        <v>48</v>
      </c>
    </row>
    <row r="14" spans="1:43" ht="14.25" customHeight="1" x14ac:dyDescent="0.35">
      <c r="A14" s="8" t="s">
        <v>51</v>
      </c>
      <c r="B14" s="8" t="s">
        <v>52</v>
      </c>
      <c r="C14" s="8" t="s">
        <v>45</v>
      </c>
      <c r="D14" s="9" t="s">
        <v>46</v>
      </c>
      <c r="E14" s="8">
        <v>2022</v>
      </c>
      <c r="F14" s="10">
        <v>2.98E-3</v>
      </c>
      <c r="G14" s="10">
        <v>0.65</v>
      </c>
      <c r="H14" s="10">
        <v>0.66290000000000004</v>
      </c>
      <c r="I14" s="31" t="s">
        <v>47</v>
      </c>
      <c r="J14" s="14">
        <v>57167993</v>
      </c>
      <c r="K14" s="27">
        <v>8581358101346</v>
      </c>
      <c r="L14" s="27">
        <v>4299656387184</v>
      </c>
      <c r="M14" s="27">
        <v>-346236733644</v>
      </c>
      <c r="N14" s="27">
        <v>-164258019428</v>
      </c>
      <c r="O14" s="14">
        <v>232804515801</v>
      </c>
      <c r="P14" s="14">
        <v>628878708900</v>
      </c>
      <c r="Q14" s="27">
        <v>246158629711</v>
      </c>
      <c r="R14" s="14">
        <v>7483952017810</v>
      </c>
      <c r="S14" s="14">
        <f>7703474073889+18705575125-16287048727</f>
        <v>7705892600287</v>
      </c>
      <c r="T14" s="14">
        <v>92388743175</v>
      </c>
      <c r="U14" s="14">
        <v>534756810312</v>
      </c>
      <c r="V14" s="14">
        <v>8399332925837</v>
      </c>
      <c r="W14" s="18" t="s">
        <v>47</v>
      </c>
      <c r="X14" s="18">
        <v>1</v>
      </c>
      <c r="Y14" s="18">
        <v>1</v>
      </c>
      <c r="Z14" s="27">
        <v>193463543209</v>
      </c>
      <c r="AA14" s="27">
        <v>1360190830023</v>
      </c>
      <c r="AB14" s="14">
        <v>814643899250</v>
      </c>
      <c r="AC14" s="27">
        <v>2939465557161</v>
      </c>
      <c r="AD14" s="14">
        <v>123068059963</v>
      </c>
      <c r="AE14" s="14">
        <v>83595256551</v>
      </c>
      <c r="AF14" s="14">
        <v>84759113271</v>
      </c>
      <c r="AG14" s="27">
        <v>541052131617</v>
      </c>
      <c r="AH14" s="37">
        <v>21700266627</v>
      </c>
      <c r="AI14" s="27">
        <v>3486914435132</v>
      </c>
      <c r="AJ14" s="27">
        <v>2917765290534</v>
      </c>
      <c r="AK14" s="26">
        <v>0.1046</v>
      </c>
      <c r="AL14" s="27">
        <v>2338804515959</v>
      </c>
      <c r="AM14" s="14">
        <v>146282859281</v>
      </c>
      <c r="AN14" s="14">
        <v>2221</v>
      </c>
      <c r="AO14" s="14">
        <v>1240</v>
      </c>
      <c r="AP14" s="37">
        <v>508548696428</v>
      </c>
      <c r="AQ14" s="18">
        <v>49</v>
      </c>
    </row>
    <row r="15" spans="1:43" ht="14.25" customHeight="1" x14ac:dyDescent="0.35">
      <c r="A15" s="8" t="s">
        <v>51</v>
      </c>
      <c r="B15" s="8" t="s">
        <v>52</v>
      </c>
      <c r="C15" s="8" t="s">
        <v>45</v>
      </c>
      <c r="D15" s="9" t="s">
        <v>46</v>
      </c>
      <c r="E15" s="8">
        <v>2023</v>
      </c>
      <c r="F15" s="32">
        <v>3.1773000000000001E-3</v>
      </c>
      <c r="G15" s="33">
        <v>0.65</v>
      </c>
      <c r="H15" s="32">
        <v>5.3100000000000001E-2</v>
      </c>
      <c r="I15" s="32">
        <v>4.3900000000000002E-2</v>
      </c>
      <c r="J15" s="34">
        <v>57167993</v>
      </c>
      <c r="K15" s="27">
        <v>8588309084029</v>
      </c>
      <c r="L15" s="27">
        <v>3454647947598</v>
      </c>
      <c r="M15" s="27">
        <v>-423662994344</v>
      </c>
      <c r="N15" s="27">
        <v>-165628465529</v>
      </c>
      <c r="O15" s="34">
        <v>206778810700</v>
      </c>
      <c r="P15" s="34">
        <v>752589629608</v>
      </c>
      <c r="Q15" s="27">
        <v>199270964715</v>
      </c>
      <c r="R15" s="13">
        <v>6665955667565</v>
      </c>
      <c r="S15" s="34">
        <f>7680240977445+11818380156-18705575125</f>
        <v>7673353782476</v>
      </c>
      <c r="T15" s="34">
        <v>106890019921</v>
      </c>
      <c r="U15" s="34">
        <v>635588226724</v>
      </c>
      <c r="V15" s="34">
        <v>7728012693424</v>
      </c>
      <c r="W15" s="18" t="s">
        <v>47</v>
      </c>
      <c r="X15" s="18">
        <v>1</v>
      </c>
      <c r="Y15" s="18">
        <v>1</v>
      </c>
      <c r="Z15" s="27">
        <v>134817816000</v>
      </c>
      <c r="AA15" s="27">
        <v>1285757822876</v>
      </c>
      <c r="AB15" s="34">
        <v>1372031832000</v>
      </c>
      <c r="AC15" s="27">
        <v>2168890124722</v>
      </c>
      <c r="AD15" s="34">
        <v>827502886051</v>
      </c>
      <c r="AE15" s="34">
        <v>13025305707</v>
      </c>
      <c r="AF15" s="34">
        <v>27409832724</v>
      </c>
      <c r="AG15" s="27">
        <v>607044366543</v>
      </c>
      <c r="AH15" s="37">
        <v>9600186993</v>
      </c>
      <c r="AI15" s="27">
        <v>2743330306053</v>
      </c>
      <c r="AJ15" s="27">
        <v>2159289937729</v>
      </c>
      <c r="AK15" s="26">
        <v>0</v>
      </c>
      <c r="AL15" s="27">
        <v>1522444882233</v>
      </c>
      <c r="AM15" s="34">
        <v>147650268631</v>
      </c>
      <c r="AN15" s="34">
        <v>2334</v>
      </c>
      <c r="AO15" s="34">
        <v>1189</v>
      </c>
      <c r="AP15" s="39">
        <v>433566473960</v>
      </c>
      <c r="AQ15" s="35">
        <v>50</v>
      </c>
    </row>
    <row r="16" spans="1:43" ht="14.25" customHeight="1" x14ac:dyDescent="0.35">
      <c r="A16" s="8" t="s">
        <v>51</v>
      </c>
      <c r="B16" s="8" t="s">
        <v>52</v>
      </c>
      <c r="C16" s="8" t="s">
        <v>45</v>
      </c>
      <c r="D16" s="9" t="s">
        <v>46</v>
      </c>
      <c r="E16" s="8">
        <v>2024</v>
      </c>
      <c r="F16" s="10">
        <v>5.8500000000000002E-4</v>
      </c>
      <c r="G16" s="10">
        <v>0.65</v>
      </c>
      <c r="H16" s="10">
        <v>0.69389999999999996</v>
      </c>
      <c r="I16" s="10">
        <v>4.3900000000000002E-2</v>
      </c>
      <c r="J16" s="14">
        <v>57167993</v>
      </c>
      <c r="K16" s="27">
        <v>9358243746877</v>
      </c>
      <c r="L16" s="27">
        <v>3277320050193</v>
      </c>
      <c r="M16" s="27">
        <v>-589675906268</v>
      </c>
      <c r="N16" s="27">
        <v>-211680608955</v>
      </c>
      <c r="O16" s="14">
        <v>203589480889</v>
      </c>
      <c r="P16" s="14">
        <v>979420694514</v>
      </c>
      <c r="Q16" s="27">
        <v>531173111567</v>
      </c>
      <c r="R16" s="14">
        <v>7469937348974</v>
      </c>
      <c r="S16" s="14">
        <f>7964775333670+7921825300-11818380156</f>
        <v>7960878778814</v>
      </c>
      <c r="T16" s="14">
        <v>98969133605</v>
      </c>
      <c r="U16" s="14">
        <v>333949365671</v>
      </c>
      <c r="V16" s="14">
        <v>8853471042781</v>
      </c>
      <c r="W16" s="18" t="s">
        <v>47</v>
      </c>
      <c r="X16" s="18">
        <v>1</v>
      </c>
      <c r="Y16" s="18">
        <v>1</v>
      </c>
      <c r="Z16" s="27">
        <v>425614471466</v>
      </c>
      <c r="AA16" s="27">
        <v>1517363750737</v>
      </c>
      <c r="AB16" s="14">
        <v>2126649339600</v>
      </c>
      <c r="AC16" s="27">
        <v>1759956299456</v>
      </c>
      <c r="AD16" s="14">
        <v>996325512323</v>
      </c>
      <c r="AE16" s="14">
        <v>91396535290</v>
      </c>
      <c r="AF16" s="14">
        <v>76112086826</v>
      </c>
      <c r="AG16" s="27">
        <v>626550473599</v>
      </c>
      <c r="AH16" s="39">
        <v>16864881916</v>
      </c>
      <c r="AI16" s="27">
        <v>2608895504667</v>
      </c>
      <c r="AJ16" s="27">
        <v>1743091417540</v>
      </c>
      <c r="AK16" s="26">
        <v>8.9899999999999994E-2</v>
      </c>
      <c r="AL16" s="27">
        <v>1466682136434</v>
      </c>
      <c r="AM16" s="14">
        <v>188081874600</v>
      </c>
      <c r="AN16" s="14">
        <v>5620</v>
      </c>
      <c r="AO16" s="14">
        <v>1243</v>
      </c>
      <c r="AP16" s="39">
        <v>420378238412</v>
      </c>
      <c r="AQ16" s="18">
        <v>51</v>
      </c>
    </row>
    <row r="17" spans="1:43" ht="14.25" customHeight="1" x14ac:dyDescent="0.35">
      <c r="A17" s="8" t="s">
        <v>53</v>
      </c>
      <c r="B17" s="8" t="s">
        <v>54</v>
      </c>
      <c r="C17" s="8" t="s">
        <v>45</v>
      </c>
      <c r="D17" s="9" t="s">
        <v>55</v>
      </c>
      <c r="E17" s="8">
        <v>2020</v>
      </c>
      <c r="F17" s="32">
        <v>2.25174E-2</v>
      </c>
      <c r="G17" s="33">
        <v>0</v>
      </c>
      <c r="H17" s="32">
        <v>0.53800000000000003</v>
      </c>
      <c r="I17" s="32">
        <v>0.46200000000000002</v>
      </c>
      <c r="J17" s="34">
        <v>79255000</v>
      </c>
      <c r="K17" s="13">
        <v>14558086434968</v>
      </c>
      <c r="L17" s="13">
        <v>14157413678883</v>
      </c>
      <c r="M17" s="18">
        <v>0</v>
      </c>
      <c r="N17" s="13">
        <v>-655860103467</v>
      </c>
      <c r="O17" s="34">
        <v>93003802036</v>
      </c>
      <c r="P17" s="34">
        <f>14256742220331-4238389410025-909712787896</f>
        <v>9108640022410</v>
      </c>
      <c r="Q17" s="13">
        <v>401295900144</v>
      </c>
      <c r="R17" s="34">
        <v>509121336725</v>
      </c>
      <c r="S17" s="13">
        <v>0</v>
      </c>
      <c r="T17" s="34">
        <v>1522030908553</v>
      </c>
      <c r="U17" s="34">
        <v>8337793572465</v>
      </c>
      <c r="V17" s="13">
        <v>14256742220331</v>
      </c>
      <c r="W17" s="18" t="s">
        <v>47</v>
      </c>
      <c r="X17" s="18">
        <v>1</v>
      </c>
      <c r="Y17" s="18">
        <v>1</v>
      </c>
      <c r="Z17" s="13">
        <v>334374615618</v>
      </c>
      <c r="AA17" s="13">
        <v>8398669476041</v>
      </c>
      <c r="AB17" s="40">
        <v>5853340922100</v>
      </c>
      <c r="AC17" s="13">
        <v>5758744202842</v>
      </c>
      <c r="AD17" s="40">
        <v>566844441099</v>
      </c>
      <c r="AE17" s="40">
        <v>5073518139</v>
      </c>
      <c r="AF17" s="40">
        <v>1391605027258</v>
      </c>
      <c r="AG17" s="13">
        <v>1396764826755</v>
      </c>
      <c r="AH17" s="23">
        <v>5574960764</v>
      </c>
      <c r="AI17" s="13">
        <v>12867742344915</v>
      </c>
      <c r="AJ17" s="13">
        <v>5753169242078</v>
      </c>
      <c r="AK17" s="21">
        <v>-0.38529999999999998</v>
      </c>
      <c r="AL17" s="13">
        <v>1492037630688</v>
      </c>
      <c r="AM17" s="40">
        <v>229107038550</v>
      </c>
      <c r="AN17" s="40">
        <v>4164</v>
      </c>
      <c r="AO17" s="34">
        <v>1659</v>
      </c>
      <c r="AP17" s="23">
        <v>510821338966</v>
      </c>
      <c r="AQ17" s="35">
        <v>16</v>
      </c>
    </row>
    <row r="18" spans="1:43" ht="14.25" customHeight="1" x14ac:dyDescent="0.35">
      <c r="A18" s="36" t="s">
        <v>53</v>
      </c>
      <c r="B18" s="36" t="s">
        <v>54</v>
      </c>
      <c r="C18" s="36" t="s">
        <v>45</v>
      </c>
      <c r="D18" s="41" t="s">
        <v>55</v>
      </c>
      <c r="E18" s="36">
        <v>2021</v>
      </c>
      <c r="F18" s="42">
        <v>4.149E-4</v>
      </c>
      <c r="G18" s="11">
        <v>0</v>
      </c>
      <c r="H18" s="10">
        <v>0.53800000000000003</v>
      </c>
      <c r="I18" s="10">
        <v>0.46500000000000002</v>
      </c>
      <c r="J18" s="14">
        <v>73859473</v>
      </c>
      <c r="K18" s="16">
        <v>9077915407373</v>
      </c>
      <c r="L18" s="16">
        <v>13924612376531</v>
      </c>
      <c r="M18" s="19">
        <v>0</v>
      </c>
      <c r="N18" s="16">
        <v>-516298035944</v>
      </c>
      <c r="O18" s="14">
        <v>93003802036</v>
      </c>
      <c r="P18" s="14">
        <f>9563509844525-3010270696022-842940164875</f>
        <v>5710298983628</v>
      </c>
      <c r="Q18" s="16">
        <v>-7282363679</v>
      </c>
      <c r="R18" s="14">
        <v>4238389410025</v>
      </c>
      <c r="S18" s="19">
        <v>0</v>
      </c>
      <c r="T18" s="14">
        <v>1720321023327</v>
      </c>
      <c r="U18" s="14">
        <v>5103896289775</v>
      </c>
      <c r="V18" s="16">
        <v>9563509844525</v>
      </c>
      <c r="W18" s="18" t="s">
        <v>47</v>
      </c>
      <c r="X18" s="19">
        <v>1</v>
      </c>
      <c r="Y18" s="19">
        <v>1</v>
      </c>
      <c r="Z18" s="16">
        <v>24110828208</v>
      </c>
      <c r="AA18" s="16">
        <v>8247560732814</v>
      </c>
      <c r="AB18" s="14">
        <v>8088000000000</v>
      </c>
      <c r="AC18" s="16">
        <v>5677051643717</v>
      </c>
      <c r="AD18" s="14">
        <v>421164676324</v>
      </c>
      <c r="AE18" s="14">
        <v>47079581566</v>
      </c>
      <c r="AF18" s="14">
        <v>680534565471</v>
      </c>
      <c r="AG18" s="16">
        <v>884710498842</v>
      </c>
      <c r="AH18" s="23">
        <v>2543770801</v>
      </c>
      <c r="AI18" s="16">
        <v>12751059518674</v>
      </c>
      <c r="AJ18" s="16">
        <v>5674507872916</v>
      </c>
      <c r="AK18" s="43">
        <v>-0.37780000000000002</v>
      </c>
      <c r="AL18" s="16">
        <v>1692285468779</v>
      </c>
      <c r="AM18" s="14">
        <v>73792975850</v>
      </c>
      <c r="AN18" s="31">
        <v>323</v>
      </c>
      <c r="AO18" s="14">
        <v>1761</v>
      </c>
      <c r="AP18" s="39">
        <v>420946301186</v>
      </c>
      <c r="AQ18" s="19">
        <v>17</v>
      </c>
    </row>
    <row r="19" spans="1:43" ht="14.25" customHeight="1" x14ac:dyDescent="0.35">
      <c r="A19" s="8" t="s">
        <v>53</v>
      </c>
      <c r="B19" s="8" t="s">
        <v>54</v>
      </c>
      <c r="C19" s="8" t="s">
        <v>45</v>
      </c>
      <c r="D19" s="9" t="s">
        <v>55</v>
      </c>
      <c r="E19" s="8">
        <v>2022</v>
      </c>
      <c r="F19" s="38">
        <v>0</v>
      </c>
      <c r="G19" s="44">
        <v>0</v>
      </c>
      <c r="H19" s="32">
        <v>0.53800000000000003</v>
      </c>
      <c r="I19" s="32">
        <v>0.42909999999999998</v>
      </c>
      <c r="J19" s="34">
        <v>73859473</v>
      </c>
      <c r="K19" s="13">
        <v>14536948503110</v>
      </c>
      <c r="L19" s="13">
        <v>18967071946667</v>
      </c>
      <c r="M19" s="18">
        <v>0</v>
      </c>
      <c r="N19" s="13">
        <v>-734758141359</v>
      </c>
      <c r="O19" s="34">
        <v>111209465435</v>
      </c>
      <c r="P19" s="34">
        <f>14784972527477-8451760312253-926289496368</f>
        <v>5406922718856</v>
      </c>
      <c r="Q19" s="13">
        <v>-53535463128</v>
      </c>
      <c r="R19" s="34">
        <v>8451760312253</v>
      </c>
      <c r="S19" s="19">
        <v>0</v>
      </c>
      <c r="T19" s="34">
        <v>2885754263285</v>
      </c>
      <c r="U19" s="34">
        <v>4525254032643</v>
      </c>
      <c r="V19" s="34">
        <v>14784972527477</v>
      </c>
      <c r="W19" s="18" t="s">
        <v>47</v>
      </c>
      <c r="X19" s="18">
        <v>1</v>
      </c>
      <c r="Y19" s="18">
        <v>1</v>
      </c>
      <c r="Z19" s="13">
        <v>20791833411</v>
      </c>
      <c r="AA19" s="13">
        <v>8213962257245</v>
      </c>
      <c r="AB19" s="34">
        <v>2090223085900</v>
      </c>
      <c r="AC19" s="13">
        <v>10753109689422</v>
      </c>
      <c r="AD19" s="34">
        <v>1627091448218</v>
      </c>
      <c r="AE19" s="34">
        <v>194756167542</v>
      </c>
      <c r="AF19" s="34">
        <v>733457384402</v>
      </c>
      <c r="AG19" s="13">
        <v>1064440156074</v>
      </c>
      <c r="AH19" s="23">
        <v>526524764995</v>
      </c>
      <c r="AI19" s="13">
        <v>17465000719039</v>
      </c>
      <c r="AJ19" s="13">
        <v>10226584924427</v>
      </c>
      <c r="AK19" s="21">
        <v>0.60150000000000003</v>
      </c>
      <c r="AL19" s="13">
        <v>2837856762717</v>
      </c>
      <c r="AM19" s="18">
        <v>0</v>
      </c>
      <c r="AN19" s="35">
        <v>280</v>
      </c>
      <c r="AO19" s="34">
        <v>2263</v>
      </c>
      <c r="AP19" s="39">
        <v>446789518824</v>
      </c>
      <c r="AQ19" s="18">
        <v>18</v>
      </c>
    </row>
    <row r="20" spans="1:43" ht="14.25" customHeight="1" x14ac:dyDescent="0.35">
      <c r="A20" s="36" t="s">
        <v>53</v>
      </c>
      <c r="B20" s="36" t="s">
        <v>54</v>
      </c>
      <c r="C20" s="36" t="s">
        <v>45</v>
      </c>
      <c r="D20" s="41" t="s">
        <v>55</v>
      </c>
      <c r="E20" s="36">
        <v>2023</v>
      </c>
      <c r="F20" s="45">
        <v>3.5200000000000002E-2</v>
      </c>
      <c r="G20" s="46">
        <v>0</v>
      </c>
      <c r="H20" s="45">
        <v>0.23200000000000001</v>
      </c>
      <c r="I20" s="45">
        <v>0.49</v>
      </c>
      <c r="J20" s="47">
        <v>74414258</v>
      </c>
      <c r="K20" s="16">
        <v>16528214803368</v>
      </c>
      <c r="L20" s="16">
        <v>21651893357725</v>
      </c>
      <c r="M20" s="16">
        <v>-40602692</v>
      </c>
      <c r="N20" s="16">
        <v>-398184674406</v>
      </c>
      <c r="O20" s="47">
        <v>106580358945</v>
      </c>
      <c r="P20" s="47">
        <v>1860424936124</v>
      </c>
      <c r="Q20" s="16">
        <v>238251862599</v>
      </c>
      <c r="R20" s="47">
        <v>1860424936124</v>
      </c>
      <c r="S20" s="19">
        <v>0</v>
      </c>
      <c r="T20" s="47">
        <v>3192468868405</v>
      </c>
      <c r="U20" s="47">
        <v>1607536265720</v>
      </c>
      <c r="V20" s="47">
        <v>6780604014339</v>
      </c>
      <c r="W20" s="19" t="s">
        <v>47</v>
      </c>
      <c r="X20" s="19">
        <v>1</v>
      </c>
      <c r="Y20" s="19">
        <v>1</v>
      </c>
      <c r="Z20" s="16">
        <v>187922316931</v>
      </c>
      <c r="AA20" s="16">
        <v>8407432424176</v>
      </c>
      <c r="AB20" s="48">
        <v>5120501350400</v>
      </c>
      <c r="AC20" s="16">
        <v>13244460933549</v>
      </c>
      <c r="AD20" s="47">
        <v>931291852825</v>
      </c>
      <c r="AE20" s="47">
        <v>40258311585</v>
      </c>
      <c r="AF20" s="47">
        <v>235362229617</v>
      </c>
      <c r="AG20" s="16">
        <v>2842181486342</v>
      </c>
      <c r="AH20" s="23">
        <v>500282036081</v>
      </c>
      <c r="AI20" s="16">
        <v>19889440906559</v>
      </c>
      <c r="AJ20" s="16">
        <v>12745683334882</v>
      </c>
      <c r="AK20" s="43">
        <v>0.13700000000000001</v>
      </c>
      <c r="AL20" s="16">
        <v>2602818535216</v>
      </c>
      <c r="AM20" s="19">
        <v>0</v>
      </c>
      <c r="AN20" s="49">
        <v>707</v>
      </c>
      <c r="AO20" s="47">
        <v>1985</v>
      </c>
      <c r="AP20" s="23">
        <v>474509997337</v>
      </c>
      <c r="AQ20" s="19">
        <v>19</v>
      </c>
    </row>
    <row r="21" spans="1:43" ht="14.25" customHeight="1" x14ac:dyDescent="0.35">
      <c r="A21" s="8" t="s">
        <v>53</v>
      </c>
      <c r="B21" s="8" t="s">
        <v>54</v>
      </c>
      <c r="C21" s="8" t="s">
        <v>45</v>
      </c>
      <c r="D21" s="9" t="s">
        <v>55</v>
      </c>
      <c r="E21" s="8">
        <v>2024</v>
      </c>
      <c r="F21" s="32">
        <v>3.8699999999999998E-2</v>
      </c>
      <c r="G21" s="33">
        <v>0</v>
      </c>
      <c r="H21" s="32">
        <v>0.51</v>
      </c>
      <c r="I21" s="32">
        <v>0.49</v>
      </c>
      <c r="J21" s="34">
        <v>99930014</v>
      </c>
      <c r="K21" s="13">
        <v>22905777578080</v>
      </c>
      <c r="L21" s="13">
        <v>27076862120048</v>
      </c>
      <c r="M21" s="13">
        <v>-1065372003</v>
      </c>
      <c r="N21" s="13">
        <v>-594485335613</v>
      </c>
      <c r="O21" s="34">
        <v>101513336151</v>
      </c>
      <c r="P21" s="34">
        <v>5963810897674</v>
      </c>
      <c r="Q21" s="13">
        <v>374482691498</v>
      </c>
      <c r="R21" s="34">
        <v>13942132425753</v>
      </c>
      <c r="S21" s="19">
        <v>0</v>
      </c>
      <c r="T21" s="34">
        <v>3105441280388</v>
      </c>
      <c r="U21" s="34">
        <v>5378107653962</v>
      </c>
      <c r="V21" s="34">
        <v>20913526518338</v>
      </c>
      <c r="W21" s="18" t="s">
        <v>47</v>
      </c>
      <c r="X21" s="18">
        <v>1</v>
      </c>
      <c r="Y21" s="18">
        <v>1</v>
      </c>
      <c r="Z21" s="13">
        <v>371404593583</v>
      </c>
      <c r="AA21" s="13">
        <v>8688770305789</v>
      </c>
      <c r="AB21" s="34">
        <v>6495450910000</v>
      </c>
      <c r="AC21" s="13">
        <v>18388091814259</v>
      </c>
      <c r="AD21" s="34">
        <v>24263641093</v>
      </c>
      <c r="AE21" s="34">
        <v>550623295257</v>
      </c>
      <c r="AF21" s="34">
        <v>240188418052</v>
      </c>
      <c r="AG21" s="13">
        <v>2478609465457</v>
      </c>
      <c r="AH21" s="23">
        <v>54164321707</v>
      </c>
      <c r="AI21" s="13">
        <v>24836699016967</v>
      </c>
      <c r="AJ21" s="13">
        <v>18328090877747</v>
      </c>
      <c r="AK21" s="21">
        <v>0.38569999999999999</v>
      </c>
      <c r="AL21" s="13">
        <v>4934880445316</v>
      </c>
      <c r="AM21" s="18">
        <v>0</v>
      </c>
      <c r="AN21" s="34">
        <v>3320</v>
      </c>
      <c r="AO21" s="34">
        <v>2398</v>
      </c>
      <c r="AP21" s="23">
        <v>453543138387</v>
      </c>
      <c r="AQ21" s="18">
        <v>20</v>
      </c>
    </row>
    <row r="22" spans="1:43" ht="14.25" customHeight="1" x14ac:dyDescent="0.35">
      <c r="A22" s="36" t="s">
        <v>56</v>
      </c>
      <c r="B22" s="36" t="s">
        <v>57</v>
      </c>
      <c r="C22" s="36" t="s">
        <v>45</v>
      </c>
      <c r="D22" s="41" t="s">
        <v>58</v>
      </c>
      <c r="E22" s="36">
        <v>2020</v>
      </c>
      <c r="F22" s="10">
        <v>0.1754</v>
      </c>
      <c r="G22" s="11">
        <v>0</v>
      </c>
      <c r="H22" s="10">
        <v>0.42470000000000002</v>
      </c>
      <c r="I22" s="10">
        <v>0.18740000000000001</v>
      </c>
      <c r="J22" s="14">
        <v>55995783</v>
      </c>
      <c r="K22" s="17">
        <v>2887570524189</v>
      </c>
      <c r="L22" s="16">
        <v>2284329017296</v>
      </c>
      <c r="M22" s="16">
        <v>-87998170475</v>
      </c>
      <c r="N22" s="16">
        <v>-23754855757</v>
      </c>
      <c r="O22" s="14">
        <v>276529675</v>
      </c>
      <c r="P22" s="14">
        <v>803276867153</v>
      </c>
      <c r="Q22" s="16">
        <v>406818736316</v>
      </c>
      <c r="R22" s="14">
        <v>1873032645362</v>
      </c>
      <c r="S22" s="14">
        <v>0</v>
      </c>
      <c r="T22" s="14">
        <v>347013233</v>
      </c>
      <c r="U22" s="14">
        <v>521701035962</v>
      </c>
      <c r="V22" s="14">
        <v>2779474824536</v>
      </c>
      <c r="W22" s="18" t="s">
        <v>47</v>
      </c>
      <c r="X22" s="19">
        <v>1</v>
      </c>
      <c r="Y22" s="19">
        <v>1</v>
      </c>
      <c r="Z22" s="16">
        <v>391923587886</v>
      </c>
      <c r="AA22" s="17">
        <v>1394944316463</v>
      </c>
      <c r="AB22" s="14">
        <v>3443740654500</v>
      </c>
      <c r="AC22" s="16">
        <v>889384700833</v>
      </c>
      <c r="AD22" s="14">
        <v>474612619895</v>
      </c>
      <c r="AE22" s="14">
        <v>61429951877</v>
      </c>
      <c r="AF22" s="14">
        <v>55516587587</v>
      </c>
      <c r="AG22" s="16">
        <v>202090986015</v>
      </c>
      <c r="AH22" s="23">
        <v>5301188000</v>
      </c>
      <c r="AI22" s="16">
        <v>1104660314544</v>
      </c>
      <c r="AJ22" s="16">
        <v>744384700833</v>
      </c>
      <c r="AK22" s="50">
        <v>1.0193000000000001</v>
      </c>
      <c r="AL22" s="16">
        <v>314660752705</v>
      </c>
      <c r="AM22" s="14">
        <v>109752566000</v>
      </c>
      <c r="AN22" s="14">
        <v>6999</v>
      </c>
      <c r="AO22" s="14">
        <v>539</v>
      </c>
      <c r="AP22" s="51">
        <v>1135232128610</v>
      </c>
      <c r="AQ22" s="19">
        <v>17</v>
      </c>
    </row>
    <row r="23" spans="1:43" ht="14.5" x14ac:dyDescent="0.35">
      <c r="A23" s="8" t="s">
        <v>56</v>
      </c>
      <c r="B23" s="8" t="s">
        <v>57</v>
      </c>
      <c r="C23" s="8" t="s">
        <v>45</v>
      </c>
      <c r="D23" s="9" t="s">
        <v>58</v>
      </c>
      <c r="E23" s="8">
        <v>2021</v>
      </c>
      <c r="F23" s="32">
        <v>0.2823</v>
      </c>
      <c r="G23" s="44">
        <v>0</v>
      </c>
      <c r="H23" s="26">
        <v>0.42930000000000001</v>
      </c>
      <c r="I23" s="32">
        <v>0.39529999999999998</v>
      </c>
      <c r="J23" s="34">
        <v>69994423</v>
      </c>
      <c r="K23" s="13">
        <v>4164330534553</v>
      </c>
      <c r="L23" s="13">
        <v>2401267067536</v>
      </c>
      <c r="M23" s="13">
        <v>-120440937631</v>
      </c>
      <c r="N23" s="13">
        <v>-41692957953</v>
      </c>
      <c r="O23" s="34">
        <v>328044275</v>
      </c>
      <c r="P23" s="22">
        <f>3722485588109-2817570433302-151518821508</f>
        <v>753396333299</v>
      </c>
      <c r="Q23" s="13">
        <v>508543998282</v>
      </c>
      <c r="R23" s="34">
        <v>2817570433302</v>
      </c>
      <c r="S23" s="18">
        <v>0</v>
      </c>
      <c r="T23" s="34">
        <v>525512695</v>
      </c>
      <c r="U23" s="34">
        <v>628514166427</v>
      </c>
      <c r="V23" s="34">
        <v>3722485588109</v>
      </c>
      <c r="W23" s="18" t="s">
        <v>47</v>
      </c>
      <c r="X23" s="18">
        <v>1</v>
      </c>
      <c r="Y23" s="18">
        <v>1</v>
      </c>
      <c r="Z23" s="13">
        <v>481340230615</v>
      </c>
      <c r="AA23" s="13">
        <v>1697095726320</v>
      </c>
      <c r="AB23" s="34">
        <v>5564556628500</v>
      </c>
      <c r="AC23" s="13">
        <v>704171341216</v>
      </c>
      <c r="AD23" s="34">
        <v>317329241639</v>
      </c>
      <c r="AE23" s="34">
        <v>155963621110</v>
      </c>
      <c r="AF23" s="34">
        <v>188840736358</v>
      </c>
      <c r="AG23" s="13">
        <v>98169465231</v>
      </c>
      <c r="AH23" s="23">
        <v>7835611000</v>
      </c>
      <c r="AI23" s="13">
        <v>1170473262002</v>
      </c>
      <c r="AJ23" s="13">
        <v>704171341216</v>
      </c>
      <c r="AK23" s="26">
        <v>0.44230000000000003</v>
      </c>
      <c r="AL23" s="13">
        <v>319899570440</v>
      </c>
      <c r="AM23" s="34">
        <v>167987349000</v>
      </c>
      <c r="AN23" s="34">
        <v>6739</v>
      </c>
      <c r="AO23" s="35">
        <v>532</v>
      </c>
      <c r="AP23" s="39">
        <v>1051206736310</v>
      </c>
      <c r="AQ23" s="18">
        <v>18</v>
      </c>
    </row>
    <row r="24" spans="1:43" ht="14.25" customHeight="1" x14ac:dyDescent="0.35">
      <c r="A24" s="36" t="s">
        <v>56</v>
      </c>
      <c r="B24" s="36" t="s">
        <v>57</v>
      </c>
      <c r="C24" s="36" t="s">
        <v>45</v>
      </c>
      <c r="D24" s="41" t="s">
        <v>58</v>
      </c>
      <c r="E24" s="36">
        <v>2022</v>
      </c>
      <c r="F24" s="10">
        <v>0.29593338000000002</v>
      </c>
      <c r="G24" s="52">
        <v>0</v>
      </c>
      <c r="H24" s="10">
        <v>3.9330299999999999E-2</v>
      </c>
      <c r="I24" s="10">
        <v>0.34960000000000002</v>
      </c>
      <c r="J24" s="14">
        <v>80493048</v>
      </c>
      <c r="K24" s="16">
        <v>3934726759456</v>
      </c>
      <c r="L24" s="16">
        <v>2882483173364</v>
      </c>
      <c r="M24" s="16">
        <v>-119423890402</v>
      </c>
      <c r="N24" s="16">
        <v>-38049892173</v>
      </c>
      <c r="O24" s="14">
        <v>227297865</v>
      </c>
      <c r="P24" s="14">
        <v>862150227129</v>
      </c>
      <c r="Q24" s="16">
        <v>432349018066</v>
      </c>
      <c r="R24" s="14">
        <v>1828162705552</v>
      </c>
      <c r="S24" s="14">
        <v>0</v>
      </c>
      <c r="T24" s="14">
        <v>319326759</v>
      </c>
      <c r="U24" s="14">
        <v>687587964511</v>
      </c>
      <c r="V24" s="14">
        <v>2856687906462</v>
      </c>
      <c r="W24" s="18" t="s">
        <v>47</v>
      </c>
      <c r="X24" s="19">
        <v>1</v>
      </c>
      <c r="Y24" s="19">
        <v>1</v>
      </c>
      <c r="Z24" s="16">
        <v>379458584417</v>
      </c>
      <c r="AA24" s="16">
        <v>1751355602625</v>
      </c>
      <c r="AB24" s="14">
        <v>3115080957600</v>
      </c>
      <c r="AC24" s="16">
        <v>1131127570739</v>
      </c>
      <c r="AD24" s="14">
        <v>241238912628</v>
      </c>
      <c r="AE24" s="14">
        <v>88084006924</v>
      </c>
      <c r="AF24" s="14">
        <v>165395725733</v>
      </c>
      <c r="AG24" s="16">
        <v>189178341116</v>
      </c>
      <c r="AH24" s="39">
        <v>10321900000</v>
      </c>
      <c r="AI24" s="16">
        <v>1662756369635</v>
      </c>
      <c r="AJ24" s="16">
        <v>1131127570739</v>
      </c>
      <c r="AK24" s="50">
        <v>-5.5E-2</v>
      </c>
      <c r="AL24" s="16">
        <v>628715196607</v>
      </c>
      <c r="AM24" s="14">
        <v>314974903500</v>
      </c>
      <c r="AN24" s="14">
        <v>4620</v>
      </c>
      <c r="AO24" s="31">
        <v>742</v>
      </c>
      <c r="AP24" s="39">
        <v>1137830233701</v>
      </c>
      <c r="AQ24" s="19">
        <v>19</v>
      </c>
    </row>
    <row r="25" spans="1:43" ht="14.25" customHeight="1" x14ac:dyDescent="0.35">
      <c r="A25" s="8" t="s">
        <v>56</v>
      </c>
      <c r="B25" s="8" t="s">
        <v>57</v>
      </c>
      <c r="C25" s="8" t="s">
        <v>45</v>
      </c>
      <c r="D25" s="9" t="s">
        <v>58</v>
      </c>
      <c r="E25" s="8">
        <v>2023</v>
      </c>
      <c r="F25" s="32">
        <v>0.30613375999999998</v>
      </c>
      <c r="G25" s="33">
        <v>0</v>
      </c>
      <c r="H25" s="32">
        <v>3.4822529999999997E-2</v>
      </c>
      <c r="I25" s="32">
        <v>0.34960000000000002</v>
      </c>
      <c r="J25" s="34">
        <v>80493048</v>
      </c>
      <c r="K25" s="13">
        <v>3258908541602</v>
      </c>
      <c r="L25" s="13">
        <v>2915097525252</v>
      </c>
      <c r="M25" s="13">
        <v>-108078537833</v>
      </c>
      <c r="N25" s="13">
        <v>-37809201984</v>
      </c>
      <c r="O25" s="34">
        <v>227297865</v>
      </c>
      <c r="P25" s="34">
        <v>862150227129</v>
      </c>
      <c r="Q25" s="13">
        <v>350550348467</v>
      </c>
      <c r="R25" s="34">
        <v>1828162705552</v>
      </c>
      <c r="S25" s="34">
        <v>0</v>
      </c>
      <c r="T25" s="34">
        <v>319326759</v>
      </c>
      <c r="U25" s="34">
        <v>687587964511</v>
      </c>
      <c r="V25" s="34">
        <v>2856687906462</v>
      </c>
      <c r="W25" s="18" t="s">
        <v>47</v>
      </c>
      <c r="X25" s="18">
        <v>1</v>
      </c>
      <c r="Y25" s="18">
        <v>1</v>
      </c>
      <c r="Z25" s="13">
        <v>309338388739</v>
      </c>
      <c r="AA25" s="13">
        <v>1851904199676</v>
      </c>
      <c r="AB25" s="34">
        <v>3094957695560</v>
      </c>
      <c r="AC25" s="13">
        <v>1063193325576</v>
      </c>
      <c r="AD25" s="34">
        <v>241238912628</v>
      </c>
      <c r="AE25" s="34">
        <v>88084006924</v>
      </c>
      <c r="AF25" s="34">
        <v>165395725733</v>
      </c>
      <c r="AG25" s="13">
        <v>247229229877</v>
      </c>
      <c r="AH25" s="23">
        <v>696922421</v>
      </c>
      <c r="AI25" s="13">
        <v>1785334756725</v>
      </c>
      <c r="AJ25" s="13">
        <v>1062496403155</v>
      </c>
      <c r="AK25" s="26">
        <v>-0.1714</v>
      </c>
      <c r="AL25" s="13">
        <v>504234805104</v>
      </c>
      <c r="AM25" s="34">
        <v>201232620000</v>
      </c>
      <c r="AN25" s="34">
        <v>3766</v>
      </c>
      <c r="AO25" s="35">
        <v>693</v>
      </c>
      <c r="AP25" s="39">
        <v>1041460816284</v>
      </c>
      <c r="AQ25" s="18">
        <v>20</v>
      </c>
    </row>
    <row r="26" spans="1:43" ht="14.25" customHeight="1" x14ac:dyDescent="0.35">
      <c r="A26" s="36" t="s">
        <v>56</v>
      </c>
      <c r="B26" s="36" t="s">
        <v>57</v>
      </c>
      <c r="C26" s="36" t="s">
        <v>45</v>
      </c>
      <c r="D26" s="41" t="s">
        <v>58</v>
      </c>
      <c r="E26" s="36">
        <v>2024</v>
      </c>
      <c r="F26" s="10">
        <v>0.18394160000000001</v>
      </c>
      <c r="G26" s="52">
        <v>0</v>
      </c>
      <c r="H26" s="10">
        <v>0.25509999999999999</v>
      </c>
      <c r="I26" s="10">
        <v>0.3906</v>
      </c>
      <c r="J26" s="14">
        <v>80493048</v>
      </c>
      <c r="K26" s="16">
        <v>3596507144729</v>
      </c>
      <c r="L26" s="16">
        <v>3244657641103</v>
      </c>
      <c r="M26" s="16">
        <v>-112803009661</v>
      </c>
      <c r="N26" s="16">
        <v>-39651125697</v>
      </c>
      <c r="O26" s="14">
        <v>985722115</v>
      </c>
      <c r="P26" s="14">
        <v>845397624650</v>
      </c>
      <c r="Q26" s="16">
        <v>271089341970</v>
      </c>
      <c r="R26" s="14">
        <v>2295155259083</v>
      </c>
      <c r="S26" s="14">
        <v>0</v>
      </c>
      <c r="T26" s="14">
        <v>394438955</v>
      </c>
      <c r="U26" s="14">
        <v>665852141285</v>
      </c>
      <c r="V26" s="14">
        <v>3321755214852</v>
      </c>
      <c r="W26" s="18" t="s">
        <v>47</v>
      </c>
      <c r="X26" s="19">
        <v>1</v>
      </c>
      <c r="Y26" s="19">
        <v>1</v>
      </c>
      <c r="Z26" s="16">
        <v>242066652212</v>
      </c>
      <c r="AA26" s="16">
        <v>2003079436113</v>
      </c>
      <c r="AB26" s="14">
        <v>2656270584000</v>
      </c>
      <c r="AC26" s="16">
        <v>1241578204990</v>
      </c>
      <c r="AD26" s="14">
        <v>656154165287</v>
      </c>
      <c r="AE26" s="14">
        <v>70637675722</v>
      </c>
      <c r="AF26" s="14">
        <v>321710327727</v>
      </c>
      <c r="AG26" s="16">
        <v>570814931920</v>
      </c>
      <c r="AH26" s="23">
        <v>5500000000</v>
      </c>
      <c r="AI26" s="16">
        <v>2186220726161</v>
      </c>
      <c r="AJ26" s="16">
        <v>1236078204990</v>
      </c>
      <c r="AK26" s="50">
        <v>0.1031</v>
      </c>
      <c r="AL26" s="16">
        <v>524454388269</v>
      </c>
      <c r="AM26" s="14">
        <v>80493048000</v>
      </c>
      <c r="AN26" s="14">
        <v>2947</v>
      </c>
      <c r="AO26" s="31">
        <v>714</v>
      </c>
      <c r="AP26" s="39">
        <v>993394405723</v>
      </c>
      <c r="AQ26" s="19">
        <v>21</v>
      </c>
    </row>
    <row r="27" spans="1:43" ht="14.25" customHeight="1" x14ac:dyDescent="0.35">
      <c r="A27" s="8" t="s">
        <v>59</v>
      </c>
      <c r="B27" s="8" t="s">
        <v>60</v>
      </c>
      <c r="C27" s="8" t="s">
        <v>45</v>
      </c>
      <c r="D27" s="9" t="s">
        <v>50</v>
      </c>
      <c r="E27" s="8">
        <v>2020</v>
      </c>
      <c r="F27" s="32">
        <v>3.9032949999999997E-2</v>
      </c>
      <c r="G27" s="32">
        <v>2.81E-2</v>
      </c>
      <c r="H27" s="32">
        <v>0.66120000000000001</v>
      </c>
      <c r="I27" s="32">
        <v>8.4900000000000003E-2</v>
      </c>
      <c r="J27" s="34">
        <v>49044000</v>
      </c>
      <c r="K27" s="27">
        <v>4415217188753</v>
      </c>
      <c r="L27" s="27">
        <v>1711161558903</v>
      </c>
      <c r="M27" s="27">
        <v>232696490958</v>
      </c>
      <c r="N27" s="27">
        <v>57710537637</v>
      </c>
      <c r="O27" s="34">
        <v>722342079</v>
      </c>
      <c r="P27" s="34">
        <v>398428824722</v>
      </c>
      <c r="Q27" s="13">
        <v>236136517091</v>
      </c>
      <c r="R27" s="34">
        <v>3750462293712</v>
      </c>
      <c r="S27" s="18">
        <v>0</v>
      </c>
      <c r="T27" s="18">
        <v>0</v>
      </c>
      <c r="U27" s="34">
        <v>156430909804</v>
      </c>
      <c r="V27" s="13">
        <v>4029695409596</v>
      </c>
      <c r="W27" s="18" t="s">
        <v>47</v>
      </c>
      <c r="X27" s="18">
        <v>1</v>
      </c>
      <c r="Y27" s="18">
        <v>1</v>
      </c>
      <c r="Z27" s="13">
        <v>225962946339</v>
      </c>
      <c r="AA27" s="13">
        <v>1081147139720</v>
      </c>
      <c r="AB27" s="34">
        <v>1687113600000</v>
      </c>
      <c r="AC27" s="13">
        <v>630014419183</v>
      </c>
      <c r="AD27" s="13">
        <v>42008151805</v>
      </c>
      <c r="AE27" s="34">
        <v>70923484447</v>
      </c>
      <c r="AF27" s="13">
        <v>60847273806</v>
      </c>
      <c r="AG27" s="13">
        <v>268186019385</v>
      </c>
      <c r="AH27" s="23">
        <v>10366252500</v>
      </c>
      <c r="AI27" s="13">
        <v>1221006445482</v>
      </c>
      <c r="AJ27" s="13">
        <v>619648166683</v>
      </c>
      <c r="AK27" s="38">
        <v>0.1885</v>
      </c>
      <c r="AL27" s="13">
        <v>608296710838</v>
      </c>
      <c r="AM27" s="34">
        <v>122610000000</v>
      </c>
      <c r="AN27" s="13">
        <v>4607</v>
      </c>
      <c r="AO27" s="34">
        <v>4058</v>
      </c>
      <c r="AP27" s="27">
        <v>307817700830</v>
      </c>
      <c r="AQ27" s="18">
        <v>24</v>
      </c>
    </row>
    <row r="28" spans="1:43" ht="14.25" customHeight="1" x14ac:dyDescent="0.35">
      <c r="A28" s="36" t="s">
        <v>59</v>
      </c>
      <c r="B28" s="36" t="s">
        <v>60</v>
      </c>
      <c r="C28" s="36" t="s">
        <v>45</v>
      </c>
      <c r="D28" s="41" t="s">
        <v>50</v>
      </c>
      <c r="E28" s="36">
        <v>2021</v>
      </c>
      <c r="F28" s="10">
        <v>2.0168720000000001E-2</v>
      </c>
      <c r="G28" s="10">
        <v>2.532539E-2</v>
      </c>
      <c r="H28" s="10">
        <v>0.52431812</v>
      </c>
      <c r="I28" s="10">
        <v>0.32449575000000003</v>
      </c>
      <c r="J28" s="14">
        <v>65388889</v>
      </c>
      <c r="K28" s="16">
        <v>5199104853990</v>
      </c>
      <c r="L28" s="17">
        <v>2699782947940</v>
      </c>
      <c r="M28" s="16">
        <v>-197034411564</v>
      </c>
      <c r="N28" s="16">
        <v>-67321304029</v>
      </c>
      <c r="O28" s="14">
        <v>870931619</v>
      </c>
      <c r="P28" s="14">
        <v>468254360101</v>
      </c>
      <c r="Q28" s="16">
        <v>285771705960</v>
      </c>
      <c r="R28" s="14">
        <v>4523312555384</v>
      </c>
      <c r="S28" s="19">
        <v>0</v>
      </c>
      <c r="T28" s="19">
        <v>0</v>
      </c>
      <c r="U28" s="14">
        <v>235111419239</v>
      </c>
      <c r="V28" s="14">
        <v>5597275346899</v>
      </c>
      <c r="W28" s="18" t="s">
        <v>47</v>
      </c>
      <c r="X28" s="19">
        <v>1</v>
      </c>
      <c r="Y28" s="19">
        <v>1</v>
      </c>
      <c r="Z28" s="17">
        <v>287089388147</v>
      </c>
      <c r="AA28" s="16">
        <v>1976754802851</v>
      </c>
      <c r="AB28" s="14">
        <v>3465611117000</v>
      </c>
      <c r="AC28" s="16">
        <v>723028145089</v>
      </c>
      <c r="AD28" s="14">
        <v>178371780817</v>
      </c>
      <c r="AE28" s="14">
        <v>277861807218</v>
      </c>
      <c r="AF28" s="14">
        <v>232520619191</v>
      </c>
      <c r="AG28" s="16">
        <v>769592318292</v>
      </c>
      <c r="AH28" s="23">
        <v>9932686500</v>
      </c>
      <c r="AI28" s="17">
        <v>2150121694079</v>
      </c>
      <c r="AJ28" s="17">
        <v>713095458589</v>
      </c>
      <c r="AK28" s="50">
        <v>0.1739</v>
      </c>
      <c r="AL28" s="17">
        <v>940772095796</v>
      </c>
      <c r="AM28" s="14">
        <v>98088000000</v>
      </c>
      <c r="AN28" s="14">
        <v>4677</v>
      </c>
      <c r="AO28" s="14">
        <v>4150</v>
      </c>
      <c r="AP28" s="17">
        <v>262969430026</v>
      </c>
      <c r="AQ28" s="19">
        <v>25</v>
      </c>
    </row>
    <row r="29" spans="1:43" ht="14.25" customHeight="1" x14ac:dyDescent="0.35">
      <c r="A29" s="8" t="s">
        <v>59</v>
      </c>
      <c r="B29" s="8" t="s">
        <v>60</v>
      </c>
      <c r="C29" s="8" t="s">
        <v>45</v>
      </c>
      <c r="D29" s="9" t="s">
        <v>50</v>
      </c>
      <c r="E29" s="8">
        <v>2022</v>
      </c>
      <c r="F29" s="32">
        <v>2.0168624999999999E-2</v>
      </c>
      <c r="G29" s="32">
        <v>2.532539E-2</v>
      </c>
      <c r="H29" s="32">
        <v>0.51039999999999996</v>
      </c>
      <c r="I29" s="32">
        <v>0.32450000000000001</v>
      </c>
      <c r="J29" s="34">
        <v>65388889</v>
      </c>
      <c r="K29" s="13">
        <v>5701563661676</v>
      </c>
      <c r="L29" s="27">
        <v>2988806966543</v>
      </c>
      <c r="M29" s="13">
        <v>-226193552007</v>
      </c>
      <c r="N29" s="13">
        <v>-92525769842</v>
      </c>
      <c r="O29" s="34">
        <v>2436383516</v>
      </c>
      <c r="P29" s="34">
        <v>546865673793</v>
      </c>
      <c r="Q29" s="13">
        <v>323804738143</v>
      </c>
      <c r="R29" s="34">
        <v>4542254306415</v>
      </c>
      <c r="S29" s="34">
        <v>138476970510</v>
      </c>
      <c r="T29" s="8">
        <v>0</v>
      </c>
      <c r="U29" s="34">
        <v>92276620949</v>
      </c>
      <c r="V29" s="34">
        <v>5736283516901</v>
      </c>
      <c r="W29" s="18" t="s">
        <v>47</v>
      </c>
      <c r="X29" s="18">
        <v>1</v>
      </c>
      <c r="Y29" s="18">
        <v>1</v>
      </c>
      <c r="Z29" s="13">
        <v>321017891395</v>
      </c>
      <c r="AA29" s="13">
        <v>2116061524214</v>
      </c>
      <c r="AB29" s="34">
        <v>2049961660150</v>
      </c>
      <c r="AC29" s="13">
        <v>872745442329</v>
      </c>
      <c r="AD29" s="34">
        <v>435208900791</v>
      </c>
      <c r="AE29" s="34">
        <v>438689485930</v>
      </c>
      <c r="AF29" s="34">
        <v>515260812713</v>
      </c>
      <c r="AG29" s="13">
        <v>585329354328</v>
      </c>
      <c r="AH29" s="23">
        <v>10191338750</v>
      </c>
      <c r="AI29" s="27">
        <v>1876998079284</v>
      </c>
      <c r="AJ29" s="27">
        <v>862554103579</v>
      </c>
      <c r="AK29" s="26">
        <v>9.6600000000000005E-2</v>
      </c>
      <c r="AL29" s="27">
        <v>929079227608</v>
      </c>
      <c r="AM29" s="34">
        <v>130777778000</v>
      </c>
      <c r="AN29" s="34">
        <v>4605</v>
      </c>
      <c r="AO29" s="34">
        <v>4902</v>
      </c>
      <c r="AP29" s="27">
        <v>418632650904</v>
      </c>
      <c r="AQ29" s="18">
        <v>26</v>
      </c>
    </row>
    <row r="30" spans="1:43" ht="14.25" customHeight="1" x14ac:dyDescent="0.35">
      <c r="A30" s="36" t="s">
        <v>59</v>
      </c>
      <c r="B30" s="36" t="s">
        <v>60</v>
      </c>
      <c r="C30" s="36" t="s">
        <v>45</v>
      </c>
      <c r="D30" s="41" t="s">
        <v>50</v>
      </c>
      <c r="E30" s="36">
        <v>2023</v>
      </c>
      <c r="F30" s="10">
        <v>7.0997999999999999E-3</v>
      </c>
      <c r="G30" s="10">
        <v>2.532539E-2</v>
      </c>
      <c r="H30" s="10">
        <v>0.53327769999999997</v>
      </c>
      <c r="I30" s="10">
        <v>0.31252449999999998</v>
      </c>
      <c r="J30" s="14">
        <v>65388889</v>
      </c>
      <c r="K30" s="17">
        <v>5087392999915</v>
      </c>
      <c r="L30" s="17">
        <v>3356184076994</v>
      </c>
      <c r="M30" s="16">
        <v>-121784059524</v>
      </c>
      <c r="N30" s="16">
        <v>-78979856518</v>
      </c>
      <c r="O30" s="14">
        <v>2322172146</v>
      </c>
      <c r="P30" s="14">
        <v>503131585030</v>
      </c>
      <c r="Q30" s="16">
        <v>303638634987</v>
      </c>
      <c r="R30" s="14">
        <v>4053532772447</v>
      </c>
      <c r="S30" s="14">
        <v>115004196671</v>
      </c>
      <c r="T30" s="14">
        <v>41625117476</v>
      </c>
      <c r="U30" s="14">
        <v>186239800557</v>
      </c>
      <c r="V30" s="14">
        <v>5162519982459</v>
      </c>
      <c r="W30" s="19" t="s">
        <v>47</v>
      </c>
      <c r="X30" s="19">
        <v>1</v>
      </c>
      <c r="Y30" s="19">
        <v>1</v>
      </c>
      <c r="Z30" s="16">
        <v>302336331166</v>
      </c>
      <c r="AA30" s="16">
        <v>2234140547837</v>
      </c>
      <c r="AB30" s="14">
        <v>3135397227550</v>
      </c>
      <c r="AC30" s="17">
        <v>1122043529157</v>
      </c>
      <c r="AD30" s="14">
        <v>207180846599</v>
      </c>
      <c r="AE30" s="14">
        <v>217783092033</v>
      </c>
      <c r="AF30" s="14">
        <v>505307316494</v>
      </c>
      <c r="AG30" s="16">
        <v>451603648884</v>
      </c>
      <c r="AH30" s="23">
        <v>10321924250</v>
      </c>
      <c r="AI30" s="17">
        <v>2127050626036</v>
      </c>
      <c r="AJ30" s="17">
        <v>1111721604907</v>
      </c>
      <c r="AK30" s="50">
        <v>-0.10829999999999999</v>
      </c>
      <c r="AL30" s="16">
        <v>999826960186</v>
      </c>
      <c r="AM30" s="14">
        <v>130777778000</v>
      </c>
      <c r="AN30" s="14">
        <v>4121</v>
      </c>
      <c r="AO30" s="14">
        <v>5174</v>
      </c>
      <c r="AP30" s="17">
        <v>848375105053</v>
      </c>
      <c r="AQ30" s="19">
        <v>27</v>
      </c>
    </row>
    <row r="31" spans="1:43" ht="14.25" customHeight="1" x14ac:dyDescent="0.35">
      <c r="A31" s="8" t="s">
        <v>59</v>
      </c>
      <c r="B31" s="8" t="s">
        <v>60</v>
      </c>
      <c r="C31" s="8" t="s">
        <v>45</v>
      </c>
      <c r="D31" s="9" t="s">
        <v>50</v>
      </c>
      <c r="E31" s="8">
        <v>2024</v>
      </c>
      <c r="F31" s="32">
        <v>1.7974E-2</v>
      </c>
      <c r="G31" s="32">
        <v>2.53E-2</v>
      </c>
      <c r="H31" s="32">
        <v>0.54359999999999997</v>
      </c>
      <c r="I31" s="32">
        <v>0.31009999999999999</v>
      </c>
      <c r="J31" s="34">
        <v>65388889</v>
      </c>
      <c r="K31" s="13">
        <v>6912623489158</v>
      </c>
      <c r="L31" s="13">
        <v>3774888902983</v>
      </c>
      <c r="M31" s="13">
        <v>-297000179598</v>
      </c>
      <c r="N31" s="13">
        <v>-91457807651</v>
      </c>
      <c r="O31" s="34">
        <v>3691832684</v>
      </c>
      <c r="P31" s="34">
        <v>737187171157</v>
      </c>
      <c r="Q31" s="13">
        <v>422116807782</v>
      </c>
      <c r="R31" s="34">
        <v>4910133115165</v>
      </c>
      <c r="S31" s="34">
        <v>6163063869874</v>
      </c>
      <c r="T31" s="18">
        <v>0</v>
      </c>
      <c r="U31" s="34">
        <v>261498296318</v>
      </c>
      <c r="V31" s="34">
        <v>6433704509274</v>
      </c>
      <c r="W31" s="34">
        <v>63369993757</v>
      </c>
      <c r="X31" s="18">
        <v>1</v>
      </c>
      <c r="Y31" s="18">
        <v>1</v>
      </c>
      <c r="Z31" s="13">
        <v>422616028545</v>
      </c>
      <c r="AA31" s="13">
        <v>2465903411968</v>
      </c>
      <c r="AB31" s="34">
        <v>3204055561000</v>
      </c>
      <c r="AC31" s="27">
        <v>1308985491015</v>
      </c>
      <c r="AD31" s="34">
        <v>601441800089</v>
      </c>
      <c r="AE31" s="34">
        <v>114049204668</v>
      </c>
      <c r="AF31" s="34">
        <v>87717474393</v>
      </c>
      <c r="AG31" s="13">
        <v>1077460582378</v>
      </c>
      <c r="AH31" s="23">
        <v>11745817250</v>
      </c>
      <c r="AI31" s="13">
        <v>2641239437985</v>
      </c>
      <c r="AJ31" s="27">
        <v>1297239673765</v>
      </c>
      <c r="AK31" s="26">
        <v>0.35980000000000001</v>
      </c>
      <c r="AL31" s="13">
        <v>1001947789487</v>
      </c>
      <c r="AM31" s="34">
        <v>151126778000</v>
      </c>
      <c r="AN31" s="34">
        <v>4675</v>
      </c>
      <c r="AO31" s="34">
        <v>5652</v>
      </c>
      <c r="AP31" s="27">
        <v>768061167034</v>
      </c>
      <c r="AQ31" s="18">
        <v>28</v>
      </c>
    </row>
    <row r="32" spans="1:43" ht="14.25" customHeight="1" x14ac:dyDescent="0.35">
      <c r="A32" s="36" t="s">
        <v>61</v>
      </c>
      <c r="B32" s="36" t="s">
        <v>62</v>
      </c>
      <c r="C32" s="36" t="s">
        <v>45</v>
      </c>
      <c r="D32" s="41" t="s">
        <v>63</v>
      </c>
      <c r="E32" s="36">
        <v>2020</v>
      </c>
      <c r="F32" s="10">
        <v>0.4546</v>
      </c>
      <c r="G32" s="11">
        <v>0</v>
      </c>
      <c r="H32" s="10">
        <v>5.5100000000000003E-2</v>
      </c>
      <c r="I32" s="10">
        <v>9.1700000000000004E-2</v>
      </c>
      <c r="J32" s="14">
        <v>36610129</v>
      </c>
      <c r="K32" s="17">
        <v>5569551903723</v>
      </c>
      <c r="L32" s="17">
        <v>1232370219050</v>
      </c>
      <c r="M32" s="16">
        <v>-114371595998</v>
      </c>
      <c r="N32" s="17">
        <v>-53417016720</v>
      </c>
      <c r="O32" s="14">
        <v>12964148628</v>
      </c>
      <c r="P32" s="14">
        <v>135511326502</v>
      </c>
      <c r="Q32" s="17">
        <v>115634286002</v>
      </c>
      <c r="R32" s="14">
        <v>174160019053</v>
      </c>
      <c r="S32" s="14">
        <v>5091463810953</v>
      </c>
      <c r="T32" s="19">
        <v>0</v>
      </c>
      <c r="U32" s="14">
        <v>90487737858</v>
      </c>
      <c r="V32" s="14">
        <v>401360995346</v>
      </c>
      <c r="W32" s="18" t="s">
        <v>47</v>
      </c>
      <c r="X32" s="19">
        <v>1</v>
      </c>
      <c r="Y32" s="19">
        <v>1</v>
      </c>
      <c r="Z32" s="16">
        <v>125351823081</v>
      </c>
      <c r="AA32" s="17">
        <v>535301435921</v>
      </c>
      <c r="AB32" s="14">
        <v>669965360700</v>
      </c>
      <c r="AC32" s="17">
        <v>697068783129</v>
      </c>
      <c r="AD32" s="14">
        <v>422226421267</v>
      </c>
      <c r="AE32" s="14">
        <v>458123898220</v>
      </c>
      <c r="AF32" s="14">
        <v>52376777830</v>
      </c>
      <c r="AG32" s="17">
        <v>81458070905</v>
      </c>
      <c r="AH32" s="37">
        <v>3677155743</v>
      </c>
      <c r="AI32" s="17">
        <v>919056191206</v>
      </c>
      <c r="AJ32" s="17">
        <v>693391627386</v>
      </c>
      <c r="AK32" s="50">
        <v>8.09E-2</v>
      </c>
      <c r="AL32" s="17">
        <v>564175014480</v>
      </c>
      <c r="AM32" s="14">
        <v>54526819500</v>
      </c>
      <c r="AN32" s="14">
        <v>3409</v>
      </c>
      <c r="AO32" s="31">
        <v>619</v>
      </c>
      <c r="AP32" s="17">
        <v>248545724097</v>
      </c>
      <c r="AQ32" s="19">
        <v>21</v>
      </c>
    </row>
    <row r="33" spans="1:43" ht="14.25" customHeight="1" x14ac:dyDescent="0.35">
      <c r="A33" s="8" t="s">
        <v>61</v>
      </c>
      <c r="B33" s="8" t="s">
        <v>62</v>
      </c>
      <c r="C33" s="8" t="s">
        <v>45</v>
      </c>
      <c r="D33" s="9" t="s">
        <v>63</v>
      </c>
      <c r="E33" s="8">
        <v>2021</v>
      </c>
      <c r="F33" s="32">
        <v>0.37280000000000002</v>
      </c>
      <c r="G33" s="33">
        <v>0</v>
      </c>
      <c r="H33" s="32">
        <v>0.17929999999999999</v>
      </c>
      <c r="I33" s="32">
        <v>0.15179999999999999</v>
      </c>
      <c r="J33" s="34">
        <v>49516982</v>
      </c>
      <c r="K33" s="27">
        <v>5551485307629</v>
      </c>
      <c r="L33" s="27">
        <v>1277216734272</v>
      </c>
      <c r="M33" s="27">
        <v>-118699606021</v>
      </c>
      <c r="N33" s="27">
        <v>-47764854613</v>
      </c>
      <c r="O33" s="34">
        <v>11957697483</v>
      </c>
      <c r="P33" s="34">
        <v>93575868794</v>
      </c>
      <c r="Q33" s="27">
        <v>173192676425</v>
      </c>
      <c r="R33" s="34">
        <v>270890961709</v>
      </c>
      <c r="S33" s="34">
        <v>5213388559013</v>
      </c>
      <c r="T33" s="18">
        <v>0</v>
      </c>
      <c r="U33" s="34">
        <v>64128450521</v>
      </c>
      <c r="V33" s="34">
        <v>437355422343</v>
      </c>
      <c r="W33" s="18" t="s">
        <v>47</v>
      </c>
      <c r="X33" s="18">
        <v>1</v>
      </c>
      <c r="Y33" s="18">
        <v>1</v>
      </c>
      <c r="Z33" s="27">
        <v>159847710227</v>
      </c>
      <c r="AA33" s="27">
        <v>710005672773</v>
      </c>
      <c r="AB33" s="34">
        <v>1718239275400</v>
      </c>
      <c r="AC33" s="27">
        <v>567211061499</v>
      </c>
      <c r="AD33" s="34">
        <v>335903192024</v>
      </c>
      <c r="AE33" s="34">
        <v>396720654018</v>
      </c>
      <c r="AF33" s="34">
        <v>42316990296</v>
      </c>
      <c r="AG33" s="27">
        <v>87553230700</v>
      </c>
      <c r="AH33" s="37">
        <v>4005146796</v>
      </c>
      <c r="AI33" s="27">
        <v>935778061624</v>
      </c>
      <c r="AJ33" s="27">
        <v>563205914703</v>
      </c>
      <c r="AK33" s="26">
        <v>-3.2000000000000002E-3</v>
      </c>
      <c r="AL33" s="27">
        <v>581173439031</v>
      </c>
      <c r="AM33" s="18">
        <v>0</v>
      </c>
      <c r="AN33" s="34">
        <v>3337</v>
      </c>
      <c r="AO33" s="18">
        <v>718</v>
      </c>
      <c r="AP33" s="27">
        <v>261629456593</v>
      </c>
      <c r="AQ33" s="18">
        <v>22</v>
      </c>
    </row>
    <row r="34" spans="1:43" ht="14.25" customHeight="1" x14ac:dyDescent="0.35">
      <c r="A34" s="36" t="s">
        <v>61</v>
      </c>
      <c r="B34" s="36" t="s">
        <v>62</v>
      </c>
      <c r="C34" s="36" t="s">
        <v>45</v>
      </c>
      <c r="D34" s="41" t="s">
        <v>63</v>
      </c>
      <c r="E34" s="36">
        <v>2022</v>
      </c>
      <c r="F34" s="10">
        <v>0.36099999999999999</v>
      </c>
      <c r="G34" s="11">
        <v>0</v>
      </c>
      <c r="H34" s="10">
        <v>5.6089304299999997E-2</v>
      </c>
      <c r="I34" s="10">
        <v>0.16</v>
      </c>
      <c r="J34" s="14">
        <v>56943434</v>
      </c>
      <c r="K34" s="17">
        <v>6775200253095</v>
      </c>
      <c r="L34" s="17">
        <v>2578650183096</v>
      </c>
      <c r="M34" s="17">
        <v>-143681567442</v>
      </c>
      <c r="N34" s="17">
        <v>-64271875379</v>
      </c>
      <c r="O34" s="14">
        <v>11158694186</v>
      </c>
      <c r="P34" s="14">
        <v>169982711356</v>
      </c>
      <c r="Q34" s="17">
        <v>259684461546</v>
      </c>
      <c r="R34" s="14">
        <v>216471078672</v>
      </c>
      <c r="S34" s="14">
        <v>6787166106118</v>
      </c>
      <c r="T34" s="19">
        <v>0</v>
      </c>
      <c r="U34" s="14">
        <v>132794962241</v>
      </c>
      <c r="V34" s="14">
        <v>517445329673</v>
      </c>
      <c r="W34" s="18" t="s">
        <v>47</v>
      </c>
      <c r="X34" s="19">
        <v>1</v>
      </c>
      <c r="Y34" s="19">
        <v>1</v>
      </c>
      <c r="Z34" s="17">
        <v>239732739927</v>
      </c>
      <c r="AA34" s="17">
        <v>968919151610</v>
      </c>
      <c r="AB34" s="14">
        <v>768736359000</v>
      </c>
      <c r="AC34" s="17">
        <v>1609731031486</v>
      </c>
      <c r="AD34" s="14">
        <v>-664794046566</v>
      </c>
      <c r="AE34" s="14">
        <v>705244367300</v>
      </c>
      <c r="AF34" s="14">
        <v>-373202743500</v>
      </c>
      <c r="AG34" s="17">
        <v>160487675358</v>
      </c>
      <c r="AH34" s="37">
        <v>184597954194</v>
      </c>
      <c r="AI34" s="17">
        <v>1585777621675</v>
      </c>
      <c r="AJ34" s="17">
        <v>1425133077292</v>
      </c>
      <c r="AK34" s="50">
        <v>0.22040000000000001</v>
      </c>
      <c r="AL34" s="17">
        <v>1064805514070</v>
      </c>
      <c r="AM34" s="14">
        <v>24758491000</v>
      </c>
      <c r="AN34" s="14">
        <v>4204</v>
      </c>
      <c r="AO34" s="31">
        <v>914</v>
      </c>
      <c r="AP34" s="17">
        <v>421689365912</v>
      </c>
      <c r="AQ34" s="31">
        <v>23</v>
      </c>
    </row>
    <row r="35" spans="1:43" ht="14.25" customHeight="1" x14ac:dyDescent="0.35">
      <c r="A35" s="8" t="s">
        <v>61</v>
      </c>
      <c r="B35" s="8" t="s">
        <v>62</v>
      </c>
      <c r="C35" s="8" t="s">
        <v>45</v>
      </c>
      <c r="D35" s="9" t="s">
        <v>63</v>
      </c>
      <c r="E35" s="8">
        <v>2023</v>
      </c>
      <c r="F35" s="38">
        <v>0.40620000000000001</v>
      </c>
      <c r="G35" s="33">
        <v>0</v>
      </c>
      <c r="H35" s="32">
        <v>4.5600000000000002E-2</v>
      </c>
      <c r="I35" s="32">
        <v>0.1565</v>
      </c>
      <c r="J35" s="34">
        <v>93427565</v>
      </c>
      <c r="K35" s="27">
        <v>3981921710938</v>
      </c>
      <c r="L35" s="27">
        <v>2006287818697</v>
      </c>
      <c r="M35" s="27">
        <v>-145056296613</v>
      </c>
      <c r="N35" s="27">
        <v>-76186451537</v>
      </c>
      <c r="O35" s="34">
        <v>10920997047</v>
      </c>
      <c r="P35" s="13">
        <v>200784367107</v>
      </c>
      <c r="Q35" s="27">
        <v>18972950565</v>
      </c>
      <c r="R35" s="34">
        <v>339164696795</v>
      </c>
      <c r="S35" s="34">
        <v>3337167875703</v>
      </c>
      <c r="T35" s="18">
        <v>0</v>
      </c>
      <c r="U35" s="34">
        <v>139270489260</v>
      </c>
      <c r="V35" s="34">
        <v>678520045341</v>
      </c>
      <c r="W35" s="18" t="s">
        <v>47</v>
      </c>
      <c r="X35" s="18">
        <v>1</v>
      </c>
      <c r="Y35" s="18">
        <v>1</v>
      </c>
      <c r="Z35" s="27">
        <v>37056457843</v>
      </c>
      <c r="AA35" s="27">
        <v>1164003892453</v>
      </c>
      <c r="AB35" s="34">
        <v>1303314531750</v>
      </c>
      <c r="AC35" s="27">
        <v>842283926244</v>
      </c>
      <c r="AD35" s="34">
        <v>432966485632</v>
      </c>
      <c r="AE35" s="34">
        <v>401489093210</v>
      </c>
      <c r="AF35" s="34">
        <v>770064332</v>
      </c>
      <c r="AG35" s="27">
        <v>120230008269</v>
      </c>
      <c r="AH35" s="37">
        <v>2851834319</v>
      </c>
      <c r="AI35" s="27">
        <v>1071764691450</v>
      </c>
      <c r="AJ35" s="27">
        <v>839432091925</v>
      </c>
      <c r="AK35" s="26">
        <v>-0.4123</v>
      </c>
      <c r="AL35" s="27">
        <v>696117033963</v>
      </c>
      <c r="AM35" s="34">
        <v>35971717000</v>
      </c>
      <c r="AN35" s="35">
        <v>375</v>
      </c>
      <c r="AO35" s="35">
        <v>962</v>
      </c>
      <c r="AP35" s="27">
        <v>381310311778</v>
      </c>
      <c r="AQ35" s="35">
        <v>24</v>
      </c>
    </row>
    <row r="36" spans="1:43" ht="14.25" customHeight="1" x14ac:dyDescent="0.35">
      <c r="A36" s="36" t="s">
        <v>61</v>
      </c>
      <c r="B36" s="36" t="s">
        <v>62</v>
      </c>
      <c r="C36" s="36" t="s">
        <v>45</v>
      </c>
      <c r="D36" s="41" t="s">
        <v>63</v>
      </c>
      <c r="E36" s="36">
        <v>2024</v>
      </c>
      <c r="F36" s="10">
        <v>0.39190000000000003</v>
      </c>
      <c r="G36" s="11">
        <v>0</v>
      </c>
      <c r="H36" s="10">
        <v>4.9399999999999999E-2</v>
      </c>
      <c r="I36" s="10">
        <v>0.23480000000000001</v>
      </c>
      <c r="J36" s="14">
        <v>107439681</v>
      </c>
      <c r="K36" s="17">
        <v>5513287344174</v>
      </c>
      <c r="L36" s="17">
        <v>2409018565316</v>
      </c>
      <c r="M36" s="17">
        <v>-208093865946</v>
      </c>
      <c r="N36" s="17">
        <v>-103737750605</v>
      </c>
      <c r="O36" s="14">
        <v>10738346004</v>
      </c>
      <c r="P36" s="14">
        <v>247503657755</v>
      </c>
      <c r="Q36" s="17">
        <v>177990925160</v>
      </c>
      <c r="R36" s="14">
        <v>266509408845</v>
      </c>
      <c r="S36" s="51">
        <v>7134906046934</v>
      </c>
      <c r="T36" s="19">
        <v>0</v>
      </c>
      <c r="U36" s="14">
        <v>190882051314</v>
      </c>
      <c r="V36" s="14">
        <v>712824406863</v>
      </c>
      <c r="W36" s="19" t="s">
        <v>47</v>
      </c>
      <c r="X36" s="19">
        <v>1</v>
      </c>
      <c r="Y36" s="19">
        <v>1</v>
      </c>
      <c r="Z36" s="17">
        <v>203569675920</v>
      </c>
      <c r="AA36" s="17">
        <v>1490739551138</v>
      </c>
      <c r="AB36" s="14">
        <v>1880194417500</v>
      </c>
      <c r="AC36" s="17">
        <v>918279014178</v>
      </c>
      <c r="AD36" s="14">
        <v>362847942031</v>
      </c>
      <c r="AE36" s="14">
        <v>367201945096</v>
      </c>
      <c r="AF36" s="14">
        <v>-159848074755</v>
      </c>
      <c r="AG36" s="17">
        <v>261814418901</v>
      </c>
      <c r="AH36" s="37">
        <v>541681201</v>
      </c>
      <c r="AI36" s="17">
        <v>1315736137362</v>
      </c>
      <c r="AJ36" s="17">
        <v>917737332977</v>
      </c>
      <c r="AK36" s="50">
        <v>0.3846</v>
      </c>
      <c r="AL36" s="17">
        <v>660820663188</v>
      </c>
      <c r="AM36" s="14">
        <v>31526780500</v>
      </c>
      <c r="AN36" s="14">
        <v>1163</v>
      </c>
      <c r="AO36" s="14">
        <v>1514</v>
      </c>
      <c r="AP36" s="37">
        <v>449128022956</v>
      </c>
      <c r="AQ36" s="19">
        <v>25</v>
      </c>
    </row>
    <row r="37" spans="1:43" ht="14.25" customHeight="1" x14ac:dyDescent="0.35">
      <c r="A37" s="8" t="s">
        <v>64</v>
      </c>
      <c r="B37" s="8" t="s">
        <v>65</v>
      </c>
      <c r="C37" s="8" t="s">
        <v>45</v>
      </c>
      <c r="D37" s="9" t="s">
        <v>66</v>
      </c>
      <c r="E37" s="8">
        <v>2020</v>
      </c>
      <c r="F37" s="32">
        <v>3.09E-2</v>
      </c>
      <c r="G37" s="33">
        <v>0</v>
      </c>
      <c r="H37" s="32">
        <v>0.52980000000000005</v>
      </c>
      <c r="I37" s="32">
        <v>0.4899</v>
      </c>
      <c r="J37" s="34">
        <v>66671570</v>
      </c>
      <c r="K37" s="27">
        <v>1369421714781</v>
      </c>
      <c r="L37" s="27">
        <v>2096455266870</v>
      </c>
      <c r="M37" s="27">
        <v>-213142674844</v>
      </c>
      <c r="N37" s="27">
        <v>-71348172682</v>
      </c>
      <c r="O37" s="34">
        <v>76563304686</v>
      </c>
      <c r="P37" s="34">
        <v>377962541669</v>
      </c>
      <c r="Q37" s="27">
        <v>252539901366</v>
      </c>
      <c r="R37" s="34">
        <v>488914528914</v>
      </c>
      <c r="S37" s="34">
        <v>897623184916</v>
      </c>
      <c r="T37" s="18">
        <v>0</v>
      </c>
      <c r="U37" s="34">
        <v>57890176582</v>
      </c>
      <c r="V37" s="34">
        <v>1109574353631</v>
      </c>
      <c r="W37" s="34">
        <v>10268367490</v>
      </c>
      <c r="X37" s="18">
        <v>1</v>
      </c>
      <c r="Y37" s="18">
        <v>1</v>
      </c>
      <c r="Z37" s="27">
        <v>209696878289</v>
      </c>
      <c r="AA37" s="27">
        <v>1730486168436</v>
      </c>
      <c r="AB37" s="34">
        <v>3753609391000</v>
      </c>
      <c r="AC37" s="27">
        <v>365969098434</v>
      </c>
      <c r="AD37" s="34">
        <v>73153422780</v>
      </c>
      <c r="AE37" s="34">
        <v>89684662322</v>
      </c>
      <c r="AF37" s="34">
        <v>-136475945213</v>
      </c>
      <c r="AG37" s="27">
        <v>85268705365</v>
      </c>
      <c r="AH37" s="37">
        <v>19037060330</v>
      </c>
      <c r="AI37" s="27">
        <v>981975300723</v>
      </c>
      <c r="AJ37" s="27">
        <v>346932038104</v>
      </c>
      <c r="AK37" s="26">
        <v>-5.1000000000000004E-3</v>
      </c>
      <c r="AL37" s="27">
        <v>424237469275</v>
      </c>
      <c r="AM37" s="34">
        <v>49387359000</v>
      </c>
      <c r="AN37" s="34">
        <v>2773</v>
      </c>
      <c r="AO37" s="34">
        <v>1246</v>
      </c>
      <c r="AP37" s="27">
        <v>503263217067</v>
      </c>
      <c r="AQ37" s="35">
        <v>43</v>
      </c>
    </row>
    <row r="38" spans="1:43" ht="14.25" customHeight="1" x14ac:dyDescent="0.35">
      <c r="A38" s="36" t="s">
        <v>64</v>
      </c>
      <c r="B38" s="36" t="s">
        <v>65</v>
      </c>
      <c r="C38" s="36" t="s">
        <v>45</v>
      </c>
      <c r="D38" s="41" t="s">
        <v>66</v>
      </c>
      <c r="E38" s="36">
        <v>2021</v>
      </c>
      <c r="F38" s="42" t="s">
        <v>47</v>
      </c>
      <c r="G38" s="11">
        <v>0</v>
      </c>
      <c r="H38" s="10">
        <v>38.69</v>
      </c>
      <c r="I38" s="10">
        <v>0.44579999999999997</v>
      </c>
      <c r="J38" s="14">
        <v>66671570</v>
      </c>
      <c r="K38" s="17">
        <v>1266596707350</v>
      </c>
      <c r="L38" s="17">
        <v>2294700255306</v>
      </c>
      <c r="M38" s="17">
        <v>-181292527233</v>
      </c>
      <c r="N38" s="17">
        <v>-72636907782</v>
      </c>
      <c r="O38" s="14">
        <v>73581406779</v>
      </c>
      <c r="P38" s="14">
        <v>295519210631</v>
      </c>
      <c r="Q38" s="17">
        <v>234475310667</v>
      </c>
      <c r="R38" s="14">
        <v>445355627414</v>
      </c>
      <c r="S38" s="14">
        <v>846432829227</v>
      </c>
      <c r="T38" s="19">
        <v>0</v>
      </c>
      <c r="U38" s="14">
        <v>57516645614</v>
      </c>
      <c r="V38" s="14">
        <v>962914427315</v>
      </c>
      <c r="W38" s="14">
        <v>962914427315</v>
      </c>
      <c r="X38" s="19">
        <v>1</v>
      </c>
      <c r="Y38" s="19">
        <v>1</v>
      </c>
      <c r="Z38" s="17">
        <v>189094874963</v>
      </c>
      <c r="AA38" s="17">
        <v>1794410063004</v>
      </c>
      <c r="AB38" s="14">
        <v>5033703535000</v>
      </c>
      <c r="AC38" s="17">
        <v>500290192302</v>
      </c>
      <c r="AD38" s="14">
        <v>234881036040</v>
      </c>
      <c r="AE38" s="14">
        <v>52856687303</v>
      </c>
      <c r="AF38" s="14">
        <v>-83142058686</v>
      </c>
      <c r="AG38" s="17">
        <v>271272865376</v>
      </c>
      <c r="AH38" s="37">
        <v>91652000000</v>
      </c>
      <c r="AI38" s="17">
        <v>1176339787490</v>
      </c>
      <c r="AJ38" s="17">
        <v>408638192302</v>
      </c>
      <c r="AK38" s="50">
        <v>-8.4199999999999997E-2</v>
      </c>
      <c r="AL38" s="17">
        <v>492074917415</v>
      </c>
      <c r="AM38" s="14">
        <v>100007355000</v>
      </c>
      <c r="AN38" s="14">
        <v>2600</v>
      </c>
      <c r="AO38" s="14">
        <v>1203</v>
      </c>
      <c r="AP38" s="17">
        <v>509799233736</v>
      </c>
      <c r="AQ38" s="35">
        <v>44</v>
      </c>
    </row>
    <row r="39" spans="1:43" ht="14.25" customHeight="1" x14ac:dyDescent="0.35">
      <c r="A39" s="8" t="s">
        <v>64</v>
      </c>
      <c r="B39" s="8" t="s">
        <v>65</v>
      </c>
      <c r="C39" s="8" t="s">
        <v>45</v>
      </c>
      <c r="D39" s="9" t="s">
        <v>66</v>
      </c>
      <c r="E39" s="8">
        <v>2022</v>
      </c>
      <c r="F39" s="26">
        <v>0</v>
      </c>
      <c r="G39" s="30">
        <v>0</v>
      </c>
      <c r="H39" s="26">
        <v>0.6885</v>
      </c>
      <c r="I39" s="26">
        <v>0.49170000000000003</v>
      </c>
      <c r="J39" s="27">
        <v>66705370</v>
      </c>
      <c r="K39" s="27">
        <v>1643706514646</v>
      </c>
      <c r="L39" s="27">
        <v>2276943567575</v>
      </c>
      <c r="M39" s="27">
        <v>-269015147943</v>
      </c>
      <c r="N39" s="27">
        <v>-131840010666</v>
      </c>
      <c r="O39" s="27">
        <v>72978380102</v>
      </c>
      <c r="P39" s="13">
        <v>31965059112</v>
      </c>
      <c r="Q39" s="27">
        <v>290633028580</v>
      </c>
      <c r="R39" s="27">
        <v>618833551424</v>
      </c>
      <c r="S39" s="27">
        <v>946351264430</v>
      </c>
      <c r="T39" s="27">
        <v>580743385664</v>
      </c>
      <c r="U39" s="27">
        <v>946351264430</v>
      </c>
      <c r="V39" s="27">
        <v>946351264430</v>
      </c>
      <c r="W39" s="18" t="s">
        <v>47</v>
      </c>
      <c r="X39" s="18" t="s">
        <v>47</v>
      </c>
      <c r="Y39" s="18" t="s">
        <v>47</v>
      </c>
      <c r="Z39" s="27">
        <v>223540317602</v>
      </c>
      <c r="AA39" s="27">
        <v>1894446892819</v>
      </c>
      <c r="AB39" s="27">
        <v>4236791995000</v>
      </c>
      <c r="AC39" s="27">
        <v>382496674756</v>
      </c>
      <c r="AD39" s="27">
        <v>378603401448</v>
      </c>
      <c r="AE39" s="27">
        <v>99353189519</v>
      </c>
      <c r="AF39" s="27">
        <v>199303865931</v>
      </c>
      <c r="AG39" s="27">
        <v>178845070328</v>
      </c>
      <c r="AH39" s="37" t="s">
        <v>47</v>
      </c>
      <c r="AI39" s="27">
        <v>1103552901572</v>
      </c>
      <c r="AJ39" s="27">
        <v>382496674756</v>
      </c>
      <c r="AK39" s="26">
        <v>0.28820000000000001</v>
      </c>
      <c r="AL39" s="27">
        <v>435841476949</v>
      </c>
      <c r="AM39" s="27">
        <v>100007355000</v>
      </c>
      <c r="AN39" s="27">
        <v>2951</v>
      </c>
      <c r="AO39" s="27">
        <v>1505</v>
      </c>
      <c r="AP39" s="27">
        <v>488685348304</v>
      </c>
      <c r="AQ39" s="35">
        <v>45</v>
      </c>
    </row>
    <row r="40" spans="1:43" ht="14.25" customHeight="1" x14ac:dyDescent="0.35">
      <c r="A40" s="8" t="s">
        <v>64</v>
      </c>
      <c r="B40" s="8" t="s">
        <v>65</v>
      </c>
      <c r="C40" s="8" t="s">
        <v>45</v>
      </c>
      <c r="D40" s="9" t="s">
        <v>66</v>
      </c>
      <c r="E40" s="8">
        <v>2023</v>
      </c>
      <c r="F40" s="38" t="s">
        <v>47</v>
      </c>
      <c r="G40" s="44">
        <v>0</v>
      </c>
      <c r="H40" s="26">
        <v>0.69240000000000002</v>
      </c>
      <c r="I40" s="26">
        <v>0.49</v>
      </c>
      <c r="J40" s="27">
        <v>70004649</v>
      </c>
      <c r="K40" s="27">
        <v>1994036910377</v>
      </c>
      <c r="L40" s="27">
        <v>2392615157119</v>
      </c>
      <c r="M40" s="27">
        <v>-309885867749</v>
      </c>
      <c r="N40" s="27">
        <v>-119602910146</v>
      </c>
      <c r="O40" s="27">
        <v>74150230376</v>
      </c>
      <c r="P40" s="27">
        <v>213030212253</v>
      </c>
      <c r="Q40" s="27">
        <v>374406554691</v>
      </c>
      <c r="R40" s="22">
        <v>776180161927</v>
      </c>
      <c r="S40" s="27">
        <v>1183501179178</v>
      </c>
      <c r="T40" s="27">
        <v>47350665599</v>
      </c>
      <c r="U40" s="27">
        <v>1183501179178</v>
      </c>
      <c r="V40" s="27">
        <v>1183501179178</v>
      </c>
      <c r="W40" s="18" t="s">
        <v>47</v>
      </c>
      <c r="X40" s="18" t="s">
        <v>47</v>
      </c>
      <c r="Y40" s="18" t="s">
        <v>47</v>
      </c>
      <c r="Z40" s="27">
        <v>299556005542</v>
      </c>
      <c r="AA40" s="27">
        <v>2084578943585</v>
      </c>
      <c r="AB40" s="27">
        <v>3962262123400</v>
      </c>
      <c r="AC40" s="27">
        <v>308036213534</v>
      </c>
      <c r="AD40" s="27">
        <v>82442281568</v>
      </c>
      <c r="AE40" s="27">
        <v>383131871781</v>
      </c>
      <c r="AF40" s="27">
        <v>63629641231</v>
      </c>
      <c r="AG40" s="27">
        <v>106200569241</v>
      </c>
      <c r="AH40" s="37" t="s">
        <v>47</v>
      </c>
      <c r="AI40" s="27">
        <v>1207134868323</v>
      </c>
      <c r="AJ40" s="27">
        <v>308036213534</v>
      </c>
      <c r="AK40" s="26">
        <v>0.26100000000000001</v>
      </c>
      <c r="AL40" s="27">
        <v>699445523731</v>
      </c>
      <c r="AM40" s="27">
        <v>112297570037</v>
      </c>
      <c r="AN40" s="27">
        <v>3637</v>
      </c>
      <c r="AO40" s="27">
        <v>1415</v>
      </c>
      <c r="AP40" s="27">
        <v>935553291815</v>
      </c>
      <c r="AQ40" s="35">
        <v>46</v>
      </c>
    </row>
    <row r="41" spans="1:43" ht="14.25" customHeight="1" x14ac:dyDescent="0.35">
      <c r="A41" s="8" t="s">
        <v>64</v>
      </c>
      <c r="B41" s="8" t="s">
        <v>65</v>
      </c>
      <c r="C41" s="8" t="s">
        <v>45</v>
      </c>
      <c r="D41" s="9" t="s">
        <v>66</v>
      </c>
      <c r="E41" s="8">
        <v>2024</v>
      </c>
      <c r="F41" s="32">
        <v>6.3E-3</v>
      </c>
      <c r="G41" s="32">
        <v>0.22040000000000001</v>
      </c>
      <c r="H41" s="32">
        <v>0.22040000000000001</v>
      </c>
      <c r="I41" s="32">
        <v>0.47689999999999999</v>
      </c>
      <c r="J41" s="34">
        <v>154008962</v>
      </c>
      <c r="K41" s="27">
        <v>2205119938413</v>
      </c>
      <c r="L41" s="27">
        <v>2504776666933</v>
      </c>
      <c r="M41" s="27">
        <v>-312128895184</v>
      </c>
      <c r="N41" s="27">
        <v>-128270026259</v>
      </c>
      <c r="O41" s="34">
        <v>74219177707</v>
      </c>
      <c r="P41" s="34">
        <v>505137976124</v>
      </c>
      <c r="Q41" s="27">
        <v>403284767405</v>
      </c>
      <c r="R41" s="34">
        <v>938710391937</v>
      </c>
      <c r="S41" s="34">
        <v>10746424365</v>
      </c>
      <c r="T41" s="34">
        <v>9653449632</v>
      </c>
      <c r="U41" s="34">
        <v>182545935065</v>
      </c>
      <c r="V41" s="34">
        <v>1789961707166</v>
      </c>
      <c r="W41" s="18" t="s">
        <v>47</v>
      </c>
      <c r="X41" s="18">
        <v>1</v>
      </c>
      <c r="Y41" s="18">
        <v>1</v>
      </c>
      <c r="Z41" s="27">
        <v>320862393082</v>
      </c>
      <c r="AA41" s="27">
        <v>2183119168600</v>
      </c>
      <c r="AB41" s="34">
        <v>7276923454500</v>
      </c>
      <c r="AC41" s="27">
        <v>321657498333</v>
      </c>
      <c r="AD41" s="34">
        <v>216267565018</v>
      </c>
      <c r="AE41" s="34">
        <v>96770733614</v>
      </c>
      <c r="AF41" s="34">
        <v>127199192457</v>
      </c>
      <c r="AG41" s="27">
        <v>161983318837</v>
      </c>
      <c r="AH41" s="37" t="s">
        <v>47</v>
      </c>
      <c r="AI41" s="27">
        <v>1409543678165</v>
      </c>
      <c r="AJ41" s="27">
        <v>321657498333</v>
      </c>
      <c r="AK41" s="26">
        <v>0.18870000000000001</v>
      </c>
      <c r="AL41" s="27">
        <v>705082185428</v>
      </c>
      <c r="AM41" s="34">
        <v>70004649000</v>
      </c>
      <c r="AN41" s="34">
        <v>1932</v>
      </c>
      <c r="AO41" s="34">
        <v>1452</v>
      </c>
      <c r="AP41" s="27">
        <v>858811130518</v>
      </c>
      <c r="AQ41" s="18">
        <v>47</v>
      </c>
    </row>
    <row r="42" spans="1:43" ht="14.25" customHeight="1" x14ac:dyDescent="0.35">
      <c r="A42" s="36" t="s">
        <v>67</v>
      </c>
      <c r="B42" s="36" t="s">
        <v>68</v>
      </c>
      <c r="C42" s="36" t="s">
        <v>45</v>
      </c>
      <c r="D42" s="41" t="s">
        <v>69</v>
      </c>
      <c r="E42" s="36">
        <v>2020</v>
      </c>
      <c r="F42" s="10">
        <v>1.36031E-3</v>
      </c>
      <c r="G42" s="10">
        <v>0.65069999999999995</v>
      </c>
      <c r="H42" s="10">
        <v>0.10009999999999999</v>
      </c>
      <c r="I42" s="10">
        <v>0.10150000000000001</v>
      </c>
      <c r="J42" s="14">
        <v>26165732</v>
      </c>
      <c r="K42" s="17">
        <v>669318885442</v>
      </c>
      <c r="L42" s="17">
        <v>502356526488</v>
      </c>
      <c r="M42" s="17">
        <v>-10728047167</v>
      </c>
      <c r="N42" s="17">
        <v>-70357028474</v>
      </c>
      <c r="O42" s="14">
        <v>3127193517</v>
      </c>
      <c r="P42" s="14">
        <v>250626109836</v>
      </c>
      <c r="Q42" s="17">
        <v>256138344550</v>
      </c>
      <c r="R42" s="14">
        <v>41019760407</v>
      </c>
      <c r="S42" s="14">
        <v>19449583742</v>
      </c>
      <c r="T42" s="19">
        <v>0</v>
      </c>
      <c r="U42" s="14">
        <v>61504367175</v>
      </c>
      <c r="V42" s="14">
        <v>439244531075</v>
      </c>
      <c r="W42" s="18" t="s">
        <v>47</v>
      </c>
      <c r="X42" s="19">
        <v>1</v>
      </c>
      <c r="Y42" s="19">
        <v>1</v>
      </c>
      <c r="Z42" s="17">
        <v>206750183799</v>
      </c>
      <c r="AA42" s="17">
        <v>409259336215</v>
      </c>
      <c r="AB42" s="14">
        <v>2328750148000</v>
      </c>
      <c r="AC42" s="17">
        <v>93097190273</v>
      </c>
      <c r="AD42" s="14">
        <v>253526094945</v>
      </c>
      <c r="AE42" s="14">
        <v>8049930000</v>
      </c>
      <c r="AF42" s="14">
        <v>53771987984</v>
      </c>
      <c r="AG42" s="17">
        <v>55157678425</v>
      </c>
      <c r="AH42" s="37">
        <v>7889000000</v>
      </c>
      <c r="AI42" s="17">
        <v>323520164141</v>
      </c>
      <c r="AJ42" s="17">
        <v>85208190273</v>
      </c>
      <c r="AK42" s="50">
        <v>-4.3099999999999999E-2</v>
      </c>
      <c r="AL42" s="17">
        <v>2580568356</v>
      </c>
      <c r="AM42" s="14">
        <v>300710637964</v>
      </c>
      <c r="AN42" s="14">
        <v>7437</v>
      </c>
      <c r="AO42" s="31">
        <v>786</v>
      </c>
      <c r="AP42" s="17">
        <v>101291287550</v>
      </c>
      <c r="AQ42" s="31">
        <v>15</v>
      </c>
    </row>
    <row r="43" spans="1:43" ht="14.25" customHeight="1" x14ac:dyDescent="0.35">
      <c r="A43" s="8" t="s">
        <v>67</v>
      </c>
      <c r="B43" s="8" t="s">
        <v>68</v>
      </c>
      <c r="C43" s="8" t="s">
        <v>45</v>
      </c>
      <c r="D43" s="9" t="s">
        <v>69</v>
      </c>
      <c r="E43" s="8">
        <v>2021</v>
      </c>
      <c r="F43" s="32">
        <v>1.35158E-3</v>
      </c>
      <c r="G43" s="32">
        <v>0.65069999999999995</v>
      </c>
      <c r="H43" s="32">
        <v>0.19439999999999999</v>
      </c>
      <c r="I43" s="32">
        <v>0.1119</v>
      </c>
      <c r="J43" s="34">
        <v>26165732</v>
      </c>
      <c r="K43" s="27">
        <v>742156297060</v>
      </c>
      <c r="L43" s="27">
        <v>554003716503</v>
      </c>
      <c r="M43" s="27">
        <v>-8409519217</v>
      </c>
      <c r="N43" s="27">
        <v>-66427768069</v>
      </c>
      <c r="O43" s="34">
        <v>2062933485</v>
      </c>
      <c r="P43" s="34">
        <v>266375922590</v>
      </c>
      <c r="Q43" s="27">
        <v>281113376630</v>
      </c>
      <c r="R43" s="34">
        <v>48486917515</v>
      </c>
      <c r="S43" s="34">
        <v>25298342575</v>
      </c>
      <c r="T43" s="18">
        <v>0</v>
      </c>
      <c r="U43" s="34">
        <v>75548856056</v>
      </c>
      <c r="V43" s="34">
        <v>469789538899</v>
      </c>
      <c r="W43" s="18" t="s">
        <v>47</v>
      </c>
      <c r="X43" s="18">
        <v>1</v>
      </c>
      <c r="Y43" s="18">
        <v>1</v>
      </c>
      <c r="Z43" s="27">
        <v>223612260181</v>
      </c>
      <c r="AA43" s="27">
        <v>457350411268</v>
      </c>
      <c r="AB43" s="34">
        <v>2067092828000</v>
      </c>
      <c r="AC43" s="27">
        <v>96653305235</v>
      </c>
      <c r="AD43" s="34">
        <v>219924031832</v>
      </c>
      <c r="AE43" s="34">
        <v>25229086474</v>
      </c>
      <c r="AF43" s="34">
        <v>45266196570</v>
      </c>
      <c r="AG43" s="27">
        <v>59918930813</v>
      </c>
      <c r="AH43" s="37">
        <v>8829663690</v>
      </c>
      <c r="AI43" s="27">
        <v>387762483724</v>
      </c>
      <c r="AJ43" s="27">
        <v>87823641545</v>
      </c>
      <c r="AK43" s="26">
        <v>0.10879999999999999</v>
      </c>
      <c r="AL43" s="27">
        <v>3459398718</v>
      </c>
      <c r="AM43" s="34">
        <v>169889309525</v>
      </c>
      <c r="AN43" s="34">
        <v>8325</v>
      </c>
      <c r="AO43" s="35">
        <v>734</v>
      </c>
      <c r="AP43" s="27">
        <v>94491275088</v>
      </c>
      <c r="AQ43" s="18">
        <v>16</v>
      </c>
    </row>
    <row r="44" spans="1:43" ht="14.25" customHeight="1" x14ac:dyDescent="0.35">
      <c r="A44" s="36" t="s">
        <v>67</v>
      </c>
      <c r="B44" s="36" t="s">
        <v>68</v>
      </c>
      <c r="C44" s="36" t="s">
        <v>45</v>
      </c>
      <c r="D44" s="41" t="s">
        <v>69</v>
      </c>
      <c r="E44" s="36">
        <v>2022</v>
      </c>
      <c r="F44" s="10">
        <v>1.35176E-3</v>
      </c>
      <c r="G44" s="10">
        <v>0.65069999999999995</v>
      </c>
      <c r="H44" s="10">
        <v>0.21190000000000001</v>
      </c>
      <c r="I44" s="42">
        <v>0.12429999999999999</v>
      </c>
      <c r="J44" s="14">
        <v>26165732</v>
      </c>
      <c r="K44" s="17">
        <v>735914902070</v>
      </c>
      <c r="L44" s="17">
        <v>500598612614</v>
      </c>
      <c r="M44" s="17">
        <v>-10310218548</v>
      </c>
      <c r="N44" s="17">
        <v>-69289348162</v>
      </c>
      <c r="O44" s="14">
        <v>7578587492</v>
      </c>
      <c r="P44" s="14">
        <v>257518098498</v>
      </c>
      <c r="Q44" s="17">
        <v>296697481968</v>
      </c>
      <c r="R44" s="14">
        <v>49664263135</v>
      </c>
      <c r="S44" s="14">
        <v>8726476828</v>
      </c>
      <c r="T44" s="31">
        <v>0</v>
      </c>
      <c r="U44" s="14">
        <v>58124309457</v>
      </c>
      <c r="V44" s="14">
        <v>456839463865</v>
      </c>
      <c r="W44" s="18" t="s">
        <v>47</v>
      </c>
      <c r="X44" s="19">
        <v>1</v>
      </c>
      <c r="Y44" s="19">
        <v>1</v>
      </c>
      <c r="Z44" s="17">
        <v>237185892552</v>
      </c>
      <c r="AA44" s="17">
        <v>432337119999</v>
      </c>
      <c r="AB44" s="14">
        <v>1648441116000</v>
      </c>
      <c r="AC44" s="17">
        <v>68261492615</v>
      </c>
      <c r="AD44" s="14">
        <v>221737947169</v>
      </c>
      <c r="AE44" s="14">
        <v>39264323983</v>
      </c>
      <c r="AF44" s="14">
        <v>16252970524</v>
      </c>
      <c r="AG44" s="17">
        <v>41481563120</v>
      </c>
      <c r="AH44" s="37">
        <v>9080000000</v>
      </c>
      <c r="AI44" s="17">
        <v>316848662751</v>
      </c>
      <c r="AJ44" s="17">
        <v>59181492615</v>
      </c>
      <c r="AK44" s="50">
        <v>0</v>
      </c>
      <c r="AL44" s="17">
        <v>3139347825</v>
      </c>
      <c r="AM44" s="14">
        <v>256424173600</v>
      </c>
      <c r="AN44" s="14">
        <v>8646</v>
      </c>
      <c r="AO44" s="31">
        <v>736</v>
      </c>
      <c r="AP44" s="17">
        <v>114255187392</v>
      </c>
      <c r="AQ44" s="19">
        <v>17</v>
      </c>
    </row>
    <row r="45" spans="1:43" ht="14.25" customHeight="1" x14ac:dyDescent="0.35">
      <c r="A45" s="8" t="s">
        <v>67</v>
      </c>
      <c r="B45" s="8" t="s">
        <v>68</v>
      </c>
      <c r="C45" s="8" t="s">
        <v>45</v>
      </c>
      <c r="D45" s="9" t="s">
        <v>69</v>
      </c>
      <c r="E45" s="8">
        <v>2023</v>
      </c>
      <c r="F45" s="32">
        <v>1.35151E-3</v>
      </c>
      <c r="G45" s="32">
        <v>0.65100000000000002</v>
      </c>
      <c r="H45" s="32">
        <v>0.21299999999999999</v>
      </c>
      <c r="I45" s="32">
        <v>0.14299999999999999</v>
      </c>
      <c r="J45" s="34">
        <v>26165732</v>
      </c>
      <c r="K45" s="27">
        <v>701788879881</v>
      </c>
      <c r="L45" s="27">
        <v>554648134916</v>
      </c>
      <c r="M45" s="27">
        <v>-11878281654</v>
      </c>
      <c r="N45" s="27">
        <v>-75752704101</v>
      </c>
      <c r="O45" s="34">
        <v>7866424639</v>
      </c>
      <c r="P45" s="34">
        <v>264492931736</v>
      </c>
      <c r="Q45" s="27">
        <v>273400981136</v>
      </c>
      <c r="R45" s="34">
        <v>38954469754</v>
      </c>
      <c r="S45" s="34">
        <v>6852653713</v>
      </c>
      <c r="T45" s="18">
        <v>0</v>
      </c>
      <c r="U45" s="34">
        <v>54405156491</v>
      </c>
      <c r="V45" s="34">
        <v>450381495584</v>
      </c>
      <c r="W45" s="18" t="s">
        <v>47</v>
      </c>
      <c r="X45" s="18">
        <v>1</v>
      </c>
      <c r="Y45" s="18">
        <v>1</v>
      </c>
      <c r="Z45" s="27">
        <v>216796101316</v>
      </c>
      <c r="AA45" s="27">
        <v>433402421970</v>
      </c>
      <c r="AB45" s="34">
        <v>1648441116000</v>
      </c>
      <c r="AC45" s="27">
        <v>121245712946</v>
      </c>
      <c r="AD45" s="34">
        <v>271340660218</v>
      </c>
      <c r="AE45" s="34">
        <v>9681113967</v>
      </c>
      <c r="AF45" s="34">
        <v>56885412549</v>
      </c>
      <c r="AG45" s="27">
        <v>46799291605</v>
      </c>
      <c r="AH45" s="37">
        <v>11209879500</v>
      </c>
      <c r="AI45" s="27">
        <v>387998111711</v>
      </c>
      <c r="AJ45" s="27">
        <v>110035833446</v>
      </c>
      <c r="AK45" s="26">
        <v>-4.6399999999999997E-2</v>
      </c>
      <c r="AL45" s="27">
        <v>2700210019</v>
      </c>
      <c r="AM45" s="34">
        <v>209141924925</v>
      </c>
      <c r="AN45" s="34">
        <v>7877</v>
      </c>
      <c r="AO45" s="35">
        <v>711</v>
      </c>
      <c r="AP45" s="27">
        <v>96993596400</v>
      </c>
      <c r="AQ45" s="18">
        <v>18</v>
      </c>
    </row>
    <row r="46" spans="1:43" ht="14.25" customHeight="1" x14ac:dyDescent="0.35">
      <c r="A46" s="36" t="s">
        <v>67</v>
      </c>
      <c r="B46" s="36" t="s">
        <v>68</v>
      </c>
      <c r="C46" s="36" t="s">
        <v>45</v>
      </c>
      <c r="D46" s="41" t="s">
        <v>69</v>
      </c>
      <c r="E46" s="36">
        <v>2024</v>
      </c>
      <c r="F46" s="10">
        <v>1.34873E-3</v>
      </c>
      <c r="G46" s="10">
        <v>0.65100000000000002</v>
      </c>
      <c r="H46" s="10">
        <v>0.21299999999999999</v>
      </c>
      <c r="I46" s="10">
        <v>0.14299999999999999</v>
      </c>
      <c r="J46" s="14">
        <v>26165732</v>
      </c>
      <c r="K46" s="17">
        <v>920644864614</v>
      </c>
      <c r="L46" s="17">
        <v>740874801677</v>
      </c>
      <c r="M46" s="17">
        <v>-20943154681</v>
      </c>
      <c r="N46" s="17">
        <v>-91169766733</v>
      </c>
      <c r="O46" s="14">
        <v>9535590604</v>
      </c>
      <c r="P46" s="14">
        <v>353344608524</v>
      </c>
      <c r="Q46" s="17">
        <v>330862222384</v>
      </c>
      <c r="R46" s="14">
        <v>46305000939</v>
      </c>
      <c r="S46" s="14">
        <v>6669934988</v>
      </c>
      <c r="T46" s="19">
        <v>0</v>
      </c>
      <c r="U46" s="14">
        <v>81218248515</v>
      </c>
      <c r="V46" s="14">
        <v>618556426706</v>
      </c>
      <c r="W46" s="18" t="s">
        <v>47</v>
      </c>
      <c r="X46" s="19">
        <v>1</v>
      </c>
      <c r="Y46" s="19">
        <v>1</v>
      </c>
      <c r="Z46" s="17">
        <v>266441450895</v>
      </c>
      <c r="AA46" s="17">
        <v>558373289838</v>
      </c>
      <c r="AB46" s="17">
        <v>1308286600000</v>
      </c>
      <c r="AC46" s="17">
        <v>182501511839</v>
      </c>
      <c r="AD46" s="14">
        <v>255288990352</v>
      </c>
      <c r="AE46" s="14">
        <v>18816668000</v>
      </c>
      <c r="AF46" s="14">
        <v>37706603199</v>
      </c>
      <c r="AG46" s="17">
        <v>134153298000</v>
      </c>
      <c r="AH46" s="37">
        <v>14079631054</v>
      </c>
      <c r="AI46" s="17">
        <v>518817831800</v>
      </c>
      <c r="AJ46" s="17">
        <v>168421880785</v>
      </c>
      <c r="AK46" s="50">
        <v>0.31190000000000001</v>
      </c>
      <c r="AL46" s="17">
        <v>3161811633</v>
      </c>
      <c r="AM46" s="14">
        <v>130871284134</v>
      </c>
      <c r="AN46" s="14">
        <v>9175</v>
      </c>
      <c r="AO46" s="31">
        <v>775</v>
      </c>
      <c r="AP46" s="17">
        <v>91161688134</v>
      </c>
      <c r="AQ46" s="19">
        <v>19</v>
      </c>
    </row>
    <row r="47" spans="1:43" ht="14.25" customHeight="1" x14ac:dyDescent="0.35">
      <c r="A47" s="8" t="s">
        <v>70</v>
      </c>
      <c r="B47" s="8" t="s">
        <v>71</v>
      </c>
      <c r="C47" s="8" t="s">
        <v>72</v>
      </c>
      <c r="D47" s="9" t="s">
        <v>55</v>
      </c>
      <c r="E47" s="8">
        <v>2020</v>
      </c>
      <c r="F47" s="32">
        <v>8.0476000000000006E-2</v>
      </c>
      <c r="G47" s="32">
        <v>0.371</v>
      </c>
      <c r="H47" s="32">
        <v>0.42759999999999998</v>
      </c>
      <c r="I47" s="32">
        <v>0.15</v>
      </c>
      <c r="J47" s="34">
        <v>117796183</v>
      </c>
      <c r="K47" s="27">
        <v>4486110999230</v>
      </c>
      <c r="L47" s="27">
        <v>3895418861335</v>
      </c>
      <c r="M47" s="27">
        <v>-582038492316</v>
      </c>
      <c r="N47" s="27">
        <v>-215748984722</v>
      </c>
      <c r="O47" s="34">
        <v>76590311767</v>
      </c>
      <c r="P47" s="34">
        <v>495928848173</v>
      </c>
      <c r="Q47" s="27">
        <v>520926859859</v>
      </c>
      <c r="R47" s="13">
        <v>2601833690136</v>
      </c>
      <c r="S47" s="34">
        <v>197432187300</v>
      </c>
      <c r="T47" s="34">
        <v>38591502720</v>
      </c>
      <c r="U47" s="34">
        <v>245409632191</v>
      </c>
      <c r="V47" s="34">
        <v>3425495375473</v>
      </c>
      <c r="W47" s="18" t="s">
        <v>47</v>
      </c>
      <c r="X47" s="18">
        <v>1</v>
      </c>
      <c r="Y47" s="18">
        <v>1</v>
      </c>
      <c r="Z47" s="27">
        <v>447189022322</v>
      </c>
      <c r="AA47" s="27">
        <v>2589288536954</v>
      </c>
      <c r="AB47" s="27">
        <v>9777083189000</v>
      </c>
      <c r="AC47" s="27">
        <v>1306130324381</v>
      </c>
      <c r="AD47" s="34">
        <v>924420970907</v>
      </c>
      <c r="AE47" s="34">
        <v>118033023743</v>
      </c>
      <c r="AF47" s="34">
        <v>88170602411</v>
      </c>
      <c r="AG47" s="27">
        <v>212170457483</v>
      </c>
      <c r="AH47" s="37">
        <v>35457201151</v>
      </c>
      <c r="AI47" s="27">
        <v>1678805704398</v>
      </c>
      <c r="AJ47" s="27">
        <v>1270673123230</v>
      </c>
      <c r="AK47" s="26">
        <v>-2.98E-2</v>
      </c>
      <c r="AL47" s="27">
        <v>647595962021</v>
      </c>
      <c r="AM47" s="34">
        <v>373021980500</v>
      </c>
      <c r="AN47" s="34">
        <v>3387</v>
      </c>
      <c r="AO47" s="34">
        <v>1348</v>
      </c>
      <c r="AP47" s="27">
        <v>1584287333984</v>
      </c>
      <c r="AQ47" s="35">
        <v>60</v>
      </c>
    </row>
    <row r="48" spans="1:43" ht="14.25" customHeight="1" x14ac:dyDescent="0.35">
      <c r="A48" s="36" t="s">
        <v>70</v>
      </c>
      <c r="B48" s="36" t="s">
        <v>71</v>
      </c>
      <c r="C48" s="36" t="s">
        <v>72</v>
      </c>
      <c r="D48" s="41" t="s">
        <v>55</v>
      </c>
      <c r="E48" s="36">
        <v>2021</v>
      </c>
      <c r="F48" s="10">
        <v>7.2319999999999995E-2</v>
      </c>
      <c r="G48" s="10">
        <v>0.371</v>
      </c>
      <c r="H48" s="10">
        <v>0.42770000000000002</v>
      </c>
      <c r="I48" s="10">
        <v>0.15</v>
      </c>
      <c r="J48" s="14">
        <v>117796183</v>
      </c>
      <c r="K48" s="17">
        <v>4823524562218</v>
      </c>
      <c r="L48" s="17">
        <v>4898198061937</v>
      </c>
      <c r="M48" s="17">
        <v>-437437678262</v>
      </c>
      <c r="N48" s="17">
        <v>-137179719745</v>
      </c>
      <c r="O48" s="14">
        <v>7604875204</v>
      </c>
      <c r="P48" s="14">
        <v>465893249204</v>
      </c>
      <c r="Q48" s="17">
        <v>557872853928</v>
      </c>
      <c r="R48" s="14">
        <v>3389098728266</v>
      </c>
      <c r="S48" s="14">
        <v>93063183857</v>
      </c>
      <c r="T48" s="14">
        <v>64834699771</v>
      </c>
      <c r="U48" s="14">
        <v>247875714064</v>
      </c>
      <c r="V48" s="14">
        <v>4211002973812</v>
      </c>
      <c r="W48" s="18" t="s">
        <v>47</v>
      </c>
      <c r="X48" s="19">
        <v>1</v>
      </c>
      <c r="Y48" s="19">
        <v>1</v>
      </c>
      <c r="Z48" s="17">
        <v>467759648912</v>
      </c>
      <c r="AA48" s="17">
        <v>2707977704900</v>
      </c>
      <c r="AB48" s="14">
        <v>7067770980000</v>
      </c>
      <c r="AC48" s="17">
        <v>2190220357037</v>
      </c>
      <c r="AD48" s="14">
        <v>315070513260</v>
      </c>
      <c r="AE48" s="14">
        <v>92181677991</v>
      </c>
      <c r="AF48" s="14">
        <v>754678831507</v>
      </c>
      <c r="AG48" s="17">
        <v>142541519801</v>
      </c>
      <c r="AH48" s="37">
        <v>16720597523</v>
      </c>
      <c r="AI48" s="17">
        <v>2721738069056</v>
      </c>
      <c r="AJ48" s="17">
        <v>2173499759514</v>
      </c>
      <c r="AK48" s="50">
        <v>7.5200000000000003E-2</v>
      </c>
      <c r="AL48" s="17">
        <v>1084976323019</v>
      </c>
      <c r="AM48" s="14">
        <v>294490457500</v>
      </c>
      <c r="AN48" s="14">
        <v>3596</v>
      </c>
      <c r="AO48" s="14">
        <v>1356</v>
      </c>
      <c r="AP48" s="17">
        <v>1463914085124</v>
      </c>
      <c r="AQ48" s="19">
        <v>61</v>
      </c>
    </row>
    <row r="49" spans="1:43" ht="14.25" customHeight="1" x14ac:dyDescent="0.35">
      <c r="A49" s="8" t="s">
        <v>70</v>
      </c>
      <c r="B49" s="8" t="s">
        <v>71</v>
      </c>
      <c r="C49" s="8" t="s">
        <v>72</v>
      </c>
      <c r="D49" s="9" t="s">
        <v>55</v>
      </c>
      <c r="E49" s="8">
        <v>2022</v>
      </c>
      <c r="F49" s="26">
        <v>0.13998790850000001</v>
      </c>
      <c r="G49" s="26">
        <v>0.37104692319999999</v>
      </c>
      <c r="H49" s="26">
        <v>0.47063336919999998</v>
      </c>
      <c r="I49" s="32">
        <v>0.15</v>
      </c>
      <c r="J49" s="34">
        <v>117796183</v>
      </c>
      <c r="K49" s="27">
        <v>5685112416767</v>
      </c>
      <c r="L49" s="27">
        <v>5063837090084</v>
      </c>
      <c r="M49" s="27">
        <v>-620367663869</v>
      </c>
      <c r="N49" s="27">
        <v>-154378233969</v>
      </c>
      <c r="O49" s="27">
        <v>7319432230</v>
      </c>
      <c r="P49" s="22">
        <v>566826792399</v>
      </c>
      <c r="Q49" s="27">
        <v>562670126309</v>
      </c>
      <c r="R49" s="27">
        <v>3859052761623</v>
      </c>
      <c r="S49" s="34">
        <f>4090476292147+100975943-100975943</f>
        <v>4090476292147</v>
      </c>
      <c r="T49" s="22">
        <v>61805061409</v>
      </c>
      <c r="U49" s="27">
        <v>339607998047</v>
      </c>
      <c r="V49" s="27">
        <v>4294534288942</v>
      </c>
      <c r="W49" s="18" t="s">
        <v>47</v>
      </c>
      <c r="X49" s="18">
        <v>1</v>
      </c>
      <c r="Y49" s="18">
        <v>1</v>
      </c>
      <c r="Z49" s="27">
        <v>479539723632</v>
      </c>
      <c r="AA49" s="27">
        <v>2830817344826</v>
      </c>
      <c r="AB49" s="27">
        <v>4016840000000</v>
      </c>
      <c r="AC49" s="27">
        <v>2233019745258</v>
      </c>
      <c r="AD49" s="27">
        <v>115946645903</v>
      </c>
      <c r="AE49" s="27">
        <v>107308155481</v>
      </c>
      <c r="AF49" s="27">
        <v>370381710647</v>
      </c>
      <c r="AG49" s="27">
        <v>167926602716</v>
      </c>
      <c r="AH49" s="53" t="s">
        <v>47</v>
      </c>
      <c r="AI49" s="27">
        <v>3075796747433</v>
      </c>
      <c r="AJ49" s="27">
        <v>2233019745258</v>
      </c>
      <c r="AK49" s="26">
        <v>0.1678</v>
      </c>
      <c r="AL49" s="27">
        <v>1538861573575</v>
      </c>
      <c r="AM49" s="27">
        <v>312159184000</v>
      </c>
      <c r="AN49" s="27">
        <v>3896</v>
      </c>
      <c r="AO49" s="27">
        <v>1300</v>
      </c>
      <c r="AP49" s="27">
        <v>1410746940838</v>
      </c>
      <c r="AQ49" s="18">
        <v>62</v>
      </c>
    </row>
    <row r="50" spans="1:43" ht="14.25" customHeight="1" x14ac:dyDescent="0.35">
      <c r="A50" s="36" t="s">
        <v>70</v>
      </c>
      <c r="B50" s="36" t="s">
        <v>71</v>
      </c>
      <c r="C50" s="36" t="s">
        <v>72</v>
      </c>
      <c r="D50" s="41" t="s">
        <v>55</v>
      </c>
      <c r="E50" s="36">
        <v>2023</v>
      </c>
      <c r="F50" s="10">
        <v>7.2300000000000003E-2</v>
      </c>
      <c r="G50" s="10">
        <v>0.371</v>
      </c>
      <c r="H50" s="10">
        <v>0.51800000000000002</v>
      </c>
      <c r="I50" s="10">
        <v>0.17799999999999999</v>
      </c>
      <c r="J50" s="14">
        <v>129575334</v>
      </c>
      <c r="K50" s="17">
        <v>5175862669587</v>
      </c>
      <c r="L50" s="17">
        <v>5453699138864</v>
      </c>
      <c r="M50" s="17">
        <v>-632394350574</v>
      </c>
      <c r="N50" s="17">
        <v>-190068009046</v>
      </c>
      <c r="O50" s="14">
        <v>7105350000</v>
      </c>
      <c r="P50" s="14">
        <v>563831925957</v>
      </c>
      <c r="Q50" s="17">
        <v>655168766148</v>
      </c>
      <c r="R50" s="14">
        <v>3090116924468</v>
      </c>
      <c r="S50" s="14">
        <v>221439680708</v>
      </c>
      <c r="T50" s="14">
        <v>38537472505</v>
      </c>
      <c r="U50" s="14">
        <v>308901106570</v>
      </c>
      <c r="V50" s="14">
        <v>4051059311831</v>
      </c>
      <c r="W50" s="18" t="s">
        <v>47</v>
      </c>
      <c r="X50" s="19">
        <v>1</v>
      </c>
      <c r="Y50" s="19">
        <v>1</v>
      </c>
      <c r="Z50" s="17">
        <v>559414720517</v>
      </c>
      <c r="AA50" s="17">
        <v>3115499287238</v>
      </c>
      <c r="AB50" s="14">
        <v>4016840000000</v>
      </c>
      <c r="AC50" s="17">
        <v>2338199851626</v>
      </c>
      <c r="AD50" s="14">
        <v>1132816558539</v>
      </c>
      <c r="AE50" s="14">
        <v>87093328723</v>
      </c>
      <c r="AF50" s="14">
        <v>557343703465</v>
      </c>
      <c r="AG50" s="17">
        <v>485324285487</v>
      </c>
      <c r="AH50" s="53" t="s">
        <v>47</v>
      </c>
      <c r="AI50" s="17">
        <v>3501190530399</v>
      </c>
      <c r="AJ50" s="17">
        <v>2338199851626</v>
      </c>
      <c r="AK50" s="50">
        <v>-9.06E-2</v>
      </c>
      <c r="AL50" s="17">
        <v>1158634823678</v>
      </c>
      <c r="AM50" s="14">
        <v>259150668000</v>
      </c>
      <c r="AN50" s="14">
        <v>3891</v>
      </c>
      <c r="AO50" s="17">
        <v>1284</v>
      </c>
      <c r="AP50" s="17">
        <v>1328548642812</v>
      </c>
      <c r="AQ50" s="19">
        <v>63</v>
      </c>
    </row>
    <row r="51" spans="1:43" ht="14.25" customHeight="1" x14ac:dyDescent="0.35">
      <c r="A51" s="8" t="s">
        <v>70</v>
      </c>
      <c r="B51" s="8" t="s">
        <v>71</v>
      </c>
      <c r="C51" s="8" t="s">
        <v>72</v>
      </c>
      <c r="D51" s="9" t="s">
        <v>55</v>
      </c>
      <c r="E51" s="8">
        <v>2024</v>
      </c>
      <c r="F51" s="32">
        <v>7.3899999999999993E-2</v>
      </c>
      <c r="G51" s="32">
        <v>0.37103999999999998</v>
      </c>
      <c r="H51" s="32">
        <v>0.55400000000000005</v>
      </c>
      <c r="I51" s="32">
        <v>0.16800000000000001</v>
      </c>
      <c r="J51" s="34">
        <v>142532284</v>
      </c>
      <c r="K51" s="27">
        <v>5656563814495</v>
      </c>
      <c r="L51" s="27">
        <v>6414871527523</v>
      </c>
      <c r="M51" s="27">
        <v>-632851000442</v>
      </c>
      <c r="N51" s="27">
        <v>-227199971559</v>
      </c>
      <c r="O51" s="34">
        <v>7105350000</v>
      </c>
      <c r="P51" s="34">
        <v>621415094542</v>
      </c>
      <c r="Q51" s="27">
        <v>885058912782</v>
      </c>
      <c r="R51" s="34">
        <v>3391369907625</v>
      </c>
      <c r="S51" s="34">
        <v>240246096848</v>
      </c>
      <c r="T51" s="34">
        <v>29835442118</v>
      </c>
      <c r="U51" s="34">
        <v>369568126100</v>
      </c>
      <c r="V51" s="34">
        <v>4452410852271</v>
      </c>
      <c r="W51" s="18" t="s">
        <v>47</v>
      </c>
      <c r="X51" s="18">
        <v>1</v>
      </c>
      <c r="Y51" s="18">
        <v>1</v>
      </c>
      <c r="Z51" s="27">
        <v>735659511537</v>
      </c>
      <c r="AA51" s="27">
        <v>3666374210005</v>
      </c>
      <c r="AB51" s="34">
        <v>9122066176000</v>
      </c>
      <c r="AC51" s="27">
        <v>2748497317518</v>
      </c>
      <c r="AD51" s="34">
        <v>1984027652987</v>
      </c>
      <c r="AE51" s="34">
        <v>76267754519</v>
      </c>
      <c r="AF51" s="34">
        <v>1585963502287</v>
      </c>
      <c r="AG51" s="27">
        <v>532864832803</v>
      </c>
      <c r="AH51" s="53" t="s">
        <v>47</v>
      </c>
      <c r="AI51" s="27">
        <v>4472882423054</v>
      </c>
      <c r="AJ51" s="27">
        <v>2748497317518</v>
      </c>
      <c r="AK51" s="26">
        <v>9.8699999999999996E-2</v>
      </c>
      <c r="AL51" s="27">
        <v>1005160488222</v>
      </c>
      <c r="AM51" s="34">
        <v>129575334000</v>
      </c>
      <c r="AN51" s="34">
        <v>4661</v>
      </c>
      <c r="AO51" s="34">
        <v>1268</v>
      </c>
      <c r="AP51" s="27">
        <v>1265480916982</v>
      </c>
      <c r="AQ51" s="18">
        <v>64</v>
      </c>
    </row>
    <row r="52" spans="1:43" ht="14.25" customHeight="1" x14ac:dyDescent="0.35">
      <c r="A52" s="36" t="s">
        <v>73</v>
      </c>
      <c r="B52" s="36" t="s">
        <v>74</v>
      </c>
      <c r="C52" s="36" t="s">
        <v>45</v>
      </c>
      <c r="D52" s="41" t="s">
        <v>50</v>
      </c>
      <c r="E52" s="36">
        <v>2020</v>
      </c>
      <c r="F52" s="50" t="s">
        <v>47</v>
      </c>
      <c r="G52" s="11">
        <v>0</v>
      </c>
      <c r="H52" s="19" t="s">
        <v>47</v>
      </c>
      <c r="I52" s="10">
        <v>0.16500000000000001</v>
      </c>
      <c r="J52" s="14">
        <v>208894750</v>
      </c>
      <c r="K52" s="17">
        <v>8329251249705</v>
      </c>
      <c r="L52" s="17">
        <v>11336295461149</v>
      </c>
      <c r="M52" s="15">
        <v>-653806231149</v>
      </c>
      <c r="N52" s="17">
        <v>-547081908104</v>
      </c>
      <c r="O52" s="14">
        <v>1725062490130</v>
      </c>
      <c r="P52" s="14">
        <v>1182911719450</v>
      </c>
      <c r="Q52" s="17">
        <v>405061781762</v>
      </c>
      <c r="R52" s="14">
        <v>6465038880221</v>
      </c>
      <c r="S52" s="14">
        <v>50037241285</v>
      </c>
      <c r="T52" s="14">
        <v>206677142777</v>
      </c>
      <c r="U52" s="14">
        <v>484640860577</v>
      </c>
      <c r="V52" s="14">
        <v>8545892327681</v>
      </c>
      <c r="W52" s="18" t="s">
        <v>47</v>
      </c>
      <c r="X52" s="19">
        <v>1</v>
      </c>
      <c r="Y52" s="19">
        <v>1</v>
      </c>
      <c r="Z52" s="17">
        <v>333223499272</v>
      </c>
      <c r="AA52" s="17">
        <v>6173153718321</v>
      </c>
      <c r="AB52" s="14">
        <v>7354000000000</v>
      </c>
      <c r="AC52" s="17">
        <v>5163141742828</v>
      </c>
      <c r="AD52" s="14">
        <v>224123501578</v>
      </c>
      <c r="AE52" s="14">
        <v>245514209079</v>
      </c>
      <c r="AF52" s="14">
        <v>447199118568</v>
      </c>
      <c r="AG52" s="17">
        <v>2025756787985</v>
      </c>
      <c r="AH52" s="37">
        <v>1523686586853</v>
      </c>
      <c r="AI52" s="17">
        <v>6169053332240</v>
      </c>
      <c r="AJ52" s="17">
        <v>3639455155975</v>
      </c>
      <c r="AK52" s="50">
        <v>6.9599999999999995E-2</v>
      </c>
      <c r="AL52" s="17">
        <v>1489638722490</v>
      </c>
      <c r="AM52" s="14">
        <v>57992069285</v>
      </c>
      <c r="AN52" s="31">
        <v>912</v>
      </c>
      <c r="AO52" s="14">
        <v>9504</v>
      </c>
      <c r="AP52" s="17">
        <v>3521304521231</v>
      </c>
      <c r="AQ52" s="19">
        <v>15</v>
      </c>
    </row>
    <row r="53" spans="1:43" ht="14.25" customHeight="1" x14ac:dyDescent="0.35">
      <c r="A53" s="8" t="s">
        <v>73</v>
      </c>
      <c r="B53" s="8" t="s">
        <v>74</v>
      </c>
      <c r="C53" s="8" t="s">
        <v>45</v>
      </c>
      <c r="D53" s="9" t="s">
        <v>50</v>
      </c>
      <c r="E53" s="8">
        <v>2021</v>
      </c>
      <c r="F53" s="18" t="s">
        <v>47</v>
      </c>
      <c r="G53" s="33">
        <v>0</v>
      </c>
      <c r="H53" s="32">
        <v>0.91969999999999996</v>
      </c>
      <c r="I53" s="32">
        <v>8.0299999999999996E-2</v>
      </c>
      <c r="J53" s="34">
        <v>208894750</v>
      </c>
      <c r="K53" s="27">
        <v>9248572465653</v>
      </c>
      <c r="L53" s="27">
        <v>15023900844042</v>
      </c>
      <c r="M53" s="28">
        <v>-739628684980</v>
      </c>
      <c r="N53" s="27">
        <v>-560874577928</v>
      </c>
      <c r="O53" s="34">
        <v>1680861045096</v>
      </c>
      <c r="P53" s="34">
        <v>1345801599878</v>
      </c>
      <c r="Q53" s="27">
        <v>556275587027</v>
      </c>
      <c r="R53" s="13">
        <v>6923601913578</v>
      </c>
      <c r="S53" s="34">
        <v>252225434626</v>
      </c>
      <c r="T53" s="34">
        <v>242757892323</v>
      </c>
      <c r="U53" s="34">
        <v>67484476045</v>
      </c>
      <c r="V53" s="34">
        <v>9234451693381</v>
      </c>
      <c r="W53" s="18" t="s">
        <v>47</v>
      </c>
      <c r="X53" s="18">
        <v>1</v>
      </c>
      <c r="Y53" s="18">
        <v>1</v>
      </c>
      <c r="Z53" s="27">
        <v>510754725421</v>
      </c>
      <c r="AA53" s="27">
        <v>7579653913472</v>
      </c>
      <c r="AB53" s="34">
        <v>8042000000000</v>
      </c>
      <c r="AC53" s="27">
        <v>7444246930570</v>
      </c>
      <c r="AD53" s="34">
        <v>1427197675444</v>
      </c>
      <c r="AE53" s="34">
        <v>591551980643</v>
      </c>
      <c r="AF53" s="34">
        <v>806507295638</v>
      </c>
      <c r="AG53" s="27">
        <v>2841256534056</v>
      </c>
      <c r="AH53" s="37">
        <v>1451501712619</v>
      </c>
      <c r="AI53" s="27">
        <v>10058956068240</v>
      </c>
      <c r="AJ53" s="27">
        <v>5992745217951</v>
      </c>
      <c r="AK53" s="26">
        <v>0.10780000000000001</v>
      </c>
      <c r="AL53" s="27">
        <v>2614665582001</v>
      </c>
      <c r="AM53" s="34">
        <v>185467780225</v>
      </c>
      <c r="AN53" s="34">
        <v>1418</v>
      </c>
      <c r="AO53" s="34">
        <v>11068</v>
      </c>
      <c r="AP53" s="27">
        <v>3402058684883</v>
      </c>
      <c r="AQ53" s="18">
        <v>16</v>
      </c>
    </row>
    <row r="54" spans="1:43" ht="14.25" customHeight="1" x14ac:dyDescent="0.35">
      <c r="A54" s="36" t="s">
        <v>73</v>
      </c>
      <c r="B54" s="36" t="s">
        <v>74</v>
      </c>
      <c r="C54" s="36" t="s">
        <v>45</v>
      </c>
      <c r="D54" s="41" t="s">
        <v>50</v>
      </c>
      <c r="E54" s="36">
        <v>2022</v>
      </c>
      <c r="F54" s="10">
        <v>1.4619999999999999E-2</v>
      </c>
      <c r="G54" s="11">
        <v>0</v>
      </c>
      <c r="H54" s="10">
        <v>0.23300000000000001</v>
      </c>
      <c r="I54" s="10">
        <v>0.12570000000000001</v>
      </c>
      <c r="J54" s="14">
        <v>208894750</v>
      </c>
      <c r="K54" s="17">
        <v>13655102989686</v>
      </c>
      <c r="L54" s="17">
        <v>16081598046958</v>
      </c>
      <c r="M54" s="15">
        <v>-1216075906042</v>
      </c>
      <c r="N54" s="17">
        <v>-650246965321</v>
      </c>
      <c r="O54" s="14">
        <v>1826909426355</v>
      </c>
      <c r="P54" s="14">
        <v>1635817118296</v>
      </c>
      <c r="Q54" s="17">
        <v>834114733738</v>
      </c>
      <c r="R54" s="14">
        <v>9126494738997</v>
      </c>
      <c r="S54" s="14">
        <v>680560316329</v>
      </c>
      <c r="T54" s="14">
        <v>239185109524</v>
      </c>
      <c r="U54" s="14">
        <v>747323184850</v>
      </c>
      <c r="V54" s="14">
        <v>12028835455735</v>
      </c>
      <c r="W54" s="18" t="s">
        <v>47</v>
      </c>
      <c r="X54" s="19">
        <v>1</v>
      </c>
      <c r="Y54" s="19">
        <v>1</v>
      </c>
      <c r="Z54" s="17">
        <v>794302277402</v>
      </c>
      <c r="AA54" s="17">
        <v>7878383782075</v>
      </c>
      <c r="AB54" s="14">
        <v>3235000000000</v>
      </c>
      <c r="AC54" s="17">
        <v>8203214264883</v>
      </c>
      <c r="AD54" s="14">
        <v>1045473697009</v>
      </c>
      <c r="AE54" s="14">
        <v>672270244313</v>
      </c>
      <c r="AF54" s="14">
        <v>1936944758210</v>
      </c>
      <c r="AG54" s="17">
        <v>1837986935653</v>
      </c>
      <c r="AH54" s="37">
        <v>390578519298</v>
      </c>
      <c r="AI54" s="17">
        <v>10114920098521</v>
      </c>
      <c r="AJ54" s="17">
        <v>7812635745585</v>
      </c>
      <c r="AK54" s="50">
        <v>0.48949999999999999</v>
      </c>
      <c r="AL54" s="17">
        <v>3140125865063</v>
      </c>
      <c r="AM54" s="14">
        <v>150283608134</v>
      </c>
      <c r="AN54" s="14">
        <v>1790</v>
      </c>
      <c r="AO54" s="14">
        <v>11812</v>
      </c>
      <c r="AP54" s="17">
        <v>3827265957386</v>
      </c>
      <c r="AQ54" s="19">
        <v>17</v>
      </c>
    </row>
    <row r="55" spans="1:43" ht="14.25" customHeight="1" x14ac:dyDescent="0.35">
      <c r="A55" s="8" t="s">
        <v>73</v>
      </c>
      <c r="B55" s="8" t="s">
        <v>74</v>
      </c>
      <c r="C55" s="8" t="s">
        <v>45</v>
      </c>
      <c r="D55" s="9" t="s">
        <v>50</v>
      </c>
      <c r="E55" s="8">
        <v>2023</v>
      </c>
      <c r="F55" s="26">
        <v>1.4617379999999999E-2</v>
      </c>
      <c r="G55" s="30">
        <v>0</v>
      </c>
      <c r="H55" s="32">
        <v>0.23300000000000001</v>
      </c>
      <c r="I55" s="38">
        <v>0.1643</v>
      </c>
      <c r="J55" s="8" t="s">
        <v>75</v>
      </c>
      <c r="K55" s="27">
        <v>13204596686662</v>
      </c>
      <c r="L55" s="27">
        <v>20188140662749</v>
      </c>
      <c r="M55" s="28">
        <v>-1061117016355</v>
      </c>
      <c r="N55" s="27">
        <v>-659230459196</v>
      </c>
      <c r="O55" s="34">
        <v>1749446520820</v>
      </c>
      <c r="P55" s="34">
        <v>1458035894222</v>
      </c>
      <c r="Q55" s="27">
        <v>952068504119</v>
      </c>
      <c r="R55" s="27">
        <v>1749446520820</v>
      </c>
      <c r="S55" s="34">
        <v>675005876057</v>
      </c>
      <c r="T55" s="34">
        <v>264963201643</v>
      </c>
      <c r="U55" s="34">
        <v>620084584928</v>
      </c>
      <c r="V55" s="34">
        <v>11942683978578</v>
      </c>
      <c r="W55" s="18" t="s">
        <v>47</v>
      </c>
      <c r="X55" s="18">
        <v>1</v>
      </c>
      <c r="Y55" s="18">
        <v>1</v>
      </c>
      <c r="Z55" s="27">
        <v>817117336270</v>
      </c>
      <c r="AA55" s="27">
        <v>8343448194471</v>
      </c>
      <c r="AB55" s="34">
        <v>4016840000000</v>
      </c>
      <c r="AC55" s="27">
        <v>11844692468278</v>
      </c>
      <c r="AD55" s="34">
        <v>4268840012009</v>
      </c>
      <c r="AE55" s="34">
        <v>4268840012009</v>
      </c>
      <c r="AF55" s="34">
        <v>168729304902</v>
      </c>
      <c r="AG55" s="27">
        <v>1402442740869</v>
      </c>
      <c r="AH55" s="37">
        <v>979015697843</v>
      </c>
      <c r="AI55" s="27">
        <v>14280778689366</v>
      </c>
      <c r="AJ55" s="27">
        <v>10865676770435</v>
      </c>
      <c r="AK55" s="26">
        <v>-2.6800000000000001E-2</v>
      </c>
      <c r="AL55" s="27">
        <v>3157270821504</v>
      </c>
      <c r="AM55" s="34">
        <v>174457267978</v>
      </c>
      <c r="AN55" s="34">
        <v>1943</v>
      </c>
      <c r="AO55" s="34">
        <v>10445</v>
      </c>
      <c r="AP55" s="27">
        <v>4122134577175</v>
      </c>
      <c r="AQ55" s="18">
        <v>18</v>
      </c>
    </row>
    <row r="56" spans="1:43" ht="14.25" customHeight="1" x14ac:dyDescent="0.35">
      <c r="A56" s="36" t="s">
        <v>73</v>
      </c>
      <c r="B56" s="36" t="s">
        <v>74</v>
      </c>
      <c r="C56" s="36" t="s">
        <v>45</v>
      </c>
      <c r="D56" s="41" t="s">
        <v>50</v>
      </c>
      <c r="E56" s="36">
        <v>2024</v>
      </c>
      <c r="F56" s="42">
        <v>1.504E-2</v>
      </c>
      <c r="G56" s="10">
        <v>0</v>
      </c>
      <c r="H56" s="10">
        <v>0.23300000000000001</v>
      </c>
      <c r="I56" s="10">
        <v>0.26800000000000002</v>
      </c>
      <c r="J56" s="16">
        <v>208894750</v>
      </c>
      <c r="K56" s="17">
        <v>16181632412859</v>
      </c>
      <c r="L56" s="17">
        <v>23840652907125</v>
      </c>
      <c r="M56" s="15">
        <v>-1501575485024</v>
      </c>
      <c r="N56" s="17">
        <v>-718077265453</v>
      </c>
      <c r="O56" s="14">
        <v>1657893673158</v>
      </c>
      <c r="P56" s="14">
        <v>2036686539660</v>
      </c>
      <c r="Q56" s="17">
        <v>1354279053368</v>
      </c>
      <c r="R56" s="14">
        <v>9031659115097</v>
      </c>
      <c r="S56" s="14">
        <v>707311422410</v>
      </c>
      <c r="T56" s="14">
        <v>263961721750</v>
      </c>
      <c r="U56" s="14">
        <v>979842956368</v>
      </c>
      <c r="V56" s="14">
        <v>13077945152566</v>
      </c>
      <c r="W56" s="14">
        <v>2000000000</v>
      </c>
      <c r="X56" s="19">
        <v>1</v>
      </c>
      <c r="Y56" s="19">
        <v>1</v>
      </c>
      <c r="Z56" s="17">
        <v>1167068107309</v>
      </c>
      <c r="AA56" s="17">
        <v>8859450516042</v>
      </c>
      <c r="AB56" s="14">
        <v>5137000000000</v>
      </c>
      <c r="AC56" s="17">
        <v>14981202391083</v>
      </c>
      <c r="AD56" s="14">
        <v>1739184049701</v>
      </c>
      <c r="AE56" s="14">
        <v>323418909730</v>
      </c>
      <c r="AF56" s="14">
        <v>890283747049</v>
      </c>
      <c r="AG56" s="17">
        <v>2958874263351</v>
      </c>
      <c r="AH56" s="37">
        <v>589287633805</v>
      </c>
      <c r="AI56" s="17">
        <v>18283085243253</v>
      </c>
      <c r="AJ56" s="17">
        <v>14391914757278</v>
      </c>
      <c r="AK56" s="50">
        <v>0.22170000000000001</v>
      </c>
      <c r="AL56" s="17">
        <v>3151592134375</v>
      </c>
      <c r="AM56" s="14">
        <v>320363007900</v>
      </c>
      <c r="AN56" s="14">
        <v>2704</v>
      </c>
      <c r="AO56" s="14">
        <v>10956</v>
      </c>
      <c r="AP56" s="17">
        <v>4101147017980</v>
      </c>
      <c r="AQ56" s="19">
        <v>19</v>
      </c>
    </row>
    <row r="57" spans="1:43" ht="14.25" customHeight="1" x14ac:dyDescent="0.35">
      <c r="A57" s="54" t="s">
        <v>76</v>
      </c>
      <c r="B57" s="8" t="s">
        <v>77</v>
      </c>
      <c r="C57" s="8" t="s">
        <v>45</v>
      </c>
      <c r="D57" s="9" t="s">
        <v>46</v>
      </c>
      <c r="E57" s="8">
        <v>2020</v>
      </c>
      <c r="F57" s="32">
        <v>2.5999999999999999E-3</v>
      </c>
      <c r="G57" s="38">
        <v>0.66620000000000001</v>
      </c>
      <c r="H57" s="38">
        <v>0.82420000000000004</v>
      </c>
      <c r="I57" s="38">
        <v>0.14099999999999999</v>
      </c>
      <c r="J57" s="13">
        <v>135499198</v>
      </c>
      <c r="K57" s="28">
        <v>1631648245568</v>
      </c>
      <c r="L57" s="28">
        <v>6538924775734</v>
      </c>
      <c r="M57" s="13">
        <v>-29216581532</v>
      </c>
      <c r="N57" s="28">
        <v>-84061079043</v>
      </c>
      <c r="O57" s="13">
        <v>288353837</v>
      </c>
      <c r="P57" s="13">
        <v>382349087548</v>
      </c>
      <c r="Q57" s="28">
        <v>447277000447</v>
      </c>
      <c r="R57" s="13">
        <v>607900305370</v>
      </c>
      <c r="S57" s="13">
        <v>101918990348</v>
      </c>
      <c r="T57" s="13">
        <v>78319577222</v>
      </c>
      <c r="U57" s="13">
        <v>128478056247</v>
      </c>
      <c r="V57" s="13">
        <v>1380052027110</v>
      </c>
      <c r="W57" s="18" t="s">
        <v>47</v>
      </c>
      <c r="X57" s="18">
        <v>1</v>
      </c>
      <c r="Y57" s="18">
        <v>1</v>
      </c>
      <c r="Z57" s="28">
        <v>1125049424935</v>
      </c>
      <c r="AA57" s="28">
        <v>3311290986851</v>
      </c>
      <c r="AB57" s="18" t="s">
        <v>47</v>
      </c>
      <c r="AC57" s="28">
        <v>3227633788883</v>
      </c>
      <c r="AD57" s="13">
        <v>783671874505</v>
      </c>
      <c r="AE57" s="13">
        <v>89491752103</v>
      </c>
      <c r="AF57" s="13">
        <v>751204549874</v>
      </c>
      <c r="AG57" s="28">
        <v>427963672949</v>
      </c>
      <c r="AH57" s="55">
        <v>2090702109641</v>
      </c>
      <c r="AI57" s="28">
        <v>3110756990959</v>
      </c>
      <c r="AJ57" s="28">
        <v>1136931679242</v>
      </c>
      <c r="AK57" s="21">
        <v>-3.2000000000000002E-3</v>
      </c>
      <c r="AL57" s="28">
        <v>293974204639</v>
      </c>
      <c r="AM57" s="34">
        <v>418455039500</v>
      </c>
      <c r="AN57" s="13">
        <v>7711</v>
      </c>
      <c r="AO57" s="13">
        <v>2421</v>
      </c>
      <c r="AP57" s="28">
        <v>1780945615847</v>
      </c>
      <c r="AQ57" s="18">
        <v>38</v>
      </c>
    </row>
    <row r="58" spans="1:43" ht="14.25" customHeight="1" x14ac:dyDescent="0.35">
      <c r="A58" s="8" t="s">
        <v>76</v>
      </c>
      <c r="B58" s="8" t="s">
        <v>77</v>
      </c>
      <c r="C58" s="8" t="s">
        <v>45</v>
      </c>
      <c r="D58" s="9" t="s">
        <v>46</v>
      </c>
      <c r="E58" s="8">
        <v>2021</v>
      </c>
      <c r="F58" s="38">
        <v>2.3E-3</v>
      </c>
      <c r="G58" s="38">
        <v>0.66620000000000001</v>
      </c>
      <c r="H58" s="38">
        <v>0.8468</v>
      </c>
      <c r="I58" s="38">
        <v>0.14710000000000001</v>
      </c>
      <c r="J58" s="13">
        <v>135499198</v>
      </c>
      <c r="K58" s="28">
        <v>1945434625353</v>
      </c>
      <c r="L58" s="28">
        <v>6027084467664</v>
      </c>
      <c r="M58" s="28">
        <v>-31684629279</v>
      </c>
      <c r="N58" s="28">
        <v>-115245810730</v>
      </c>
      <c r="O58" s="13">
        <v>811335756</v>
      </c>
      <c r="P58" s="13">
        <v>380305826829</v>
      </c>
      <c r="Q58" s="28">
        <v>566934055774</v>
      </c>
      <c r="R58" s="13">
        <v>825539996939</v>
      </c>
      <c r="S58" s="13">
        <v>80665630839</v>
      </c>
      <c r="T58" s="13">
        <v>56377797722</v>
      </c>
      <c r="U58" s="13">
        <v>101432536866</v>
      </c>
      <c r="V58" s="13">
        <v>1637762739250</v>
      </c>
      <c r="W58" s="18" t="s">
        <v>47</v>
      </c>
      <c r="X58" s="18">
        <v>1</v>
      </c>
      <c r="Y58" s="18">
        <v>1</v>
      </c>
      <c r="Z58" s="28">
        <v>513380267771</v>
      </c>
      <c r="AA58" s="28">
        <v>3109170655823</v>
      </c>
      <c r="AB58" s="18" t="s">
        <v>47</v>
      </c>
      <c r="AC58" s="28">
        <v>2917913811841</v>
      </c>
      <c r="AD58" s="13">
        <v>254574574877</v>
      </c>
      <c r="AE58" s="13">
        <v>114924341334</v>
      </c>
      <c r="AF58" s="13">
        <v>315001162424</v>
      </c>
      <c r="AG58" s="28">
        <v>139214148410</v>
      </c>
      <c r="AH58" s="55">
        <v>1726193982445</v>
      </c>
      <c r="AI58" s="28">
        <v>2738366419370</v>
      </c>
      <c r="AJ58" s="28">
        <v>1191719829396</v>
      </c>
      <c r="AK58" s="21">
        <v>0.19320000000000001</v>
      </c>
      <c r="AL58" s="28">
        <v>336156599858</v>
      </c>
      <c r="AM58" s="13">
        <v>636152698680</v>
      </c>
      <c r="AN58" s="13">
        <v>3375</v>
      </c>
      <c r="AO58" s="13">
        <v>2146</v>
      </c>
      <c r="AP58" s="28">
        <v>1780223920710</v>
      </c>
      <c r="AQ58" s="18">
        <v>39</v>
      </c>
    </row>
    <row r="59" spans="1:43" ht="14.25" customHeight="1" x14ac:dyDescent="0.35">
      <c r="A59" s="8" t="s">
        <v>76</v>
      </c>
      <c r="B59" s="8" t="s">
        <v>77</v>
      </c>
      <c r="C59" s="8" t="s">
        <v>45</v>
      </c>
      <c r="D59" s="9" t="s">
        <v>46</v>
      </c>
      <c r="E59" s="8">
        <v>2022</v>
      </c>
      <c r="F59" s="32">
        <v>3.8E-3</v>
      </c>
      <c r="G59" s="38">
        <v>0.66620000000000001</v>
      </c>
      <c r="H59" s="38">
        <v>0.83660000000000001</v>
      </c>
      <c r="I59" s="38">
        <v>0.12559999999999999</v>
      </c>
      <c r="J59" s="13">
        <v>135499198</v>
      </c>
      <c r="K59" s="28">
        <v>1708579398984</v>
      </c>
      <c r="L59" s="28">
        <v>6333298694846</v>
      </c>
      <c r="M59" s="28">
        <v>-40831633593</v>
      </c>
      <c r="N59" s="28">
        <v>-115866472028</v>
      </c>
      <c r="O59" s="13">
        <v>700541473</v>
      </c>
      <c r="P59" s="13">
        <v>349815777574</v>
      </c>
      <c r="Q59" s="28">
        <v>433664877447</v>
      </c>
      <c r="R59" s="13">
        <v>682742618901</v>
      </c>
      <c r="S59" s="13">
        <v>92351116848</v>
      </c>
      <c r="T59" s="13">
        <v>56110091105</v>
      </c>
      <c r="U59" s="13">
        <v>74647160054</v>
      </c>
      <c r="V59" s="13">
        <v>1428359421176</v>
      </c>
      <c r="W59" s="18" t="s">
        <v>47</v>
      </c>
      <c r="X59" s="18">
        <v>1</v>
      </c>
      <c r="Y59" s="18">
        <v>1</v>
      </c>
      <c r="Z59" s="28">
        <v>929728158872</v>
      </c>
      <c r="AA59" s="28">
        <v>3439218733717</v>
      </c>
      <c r="AB59" s="18" t="s">
        <v>47</v>
      </c>
      <c r="AC59" s="28">
        <v>2894079961129</v>
      </c>
      <c r="AD59" s="13">
        <v>780087934171</v>
      </c>
      <c r="AE59" s="13">
        <v>126724079628</v>
      </c>
      <c r="AF59" s="13">
        <v>230939221870</v>
      </c>
      <c r="AG59" s="28">
        <v>165825300815</v>
      </c>
      <c r="AH59" s="55">
        <v>1599434630528</v>
      </c>
      <c r="AI59" s="28">
        <v>3057893898601</v>
      </c>
      <c r="AJ59" s="28">
        <v>1294645330601</v>
      </c>
      <c r="AK59" s="21">
        <v>0</v>
      </c>
      <c r="AL59" s="28">
        <v>320513757664</v>
      </c>
      <c r="AM59" s="13">
        <v>361630571700</v>
      </c>
      <c r="AN59" s="13">
        <v>6265</v>
      </c>
      <c r="AO59" s="13">
        <v>2077</v>
      </c>
      <c r="AP59" s="28">
        <v>1796038893046</v>
      </c>
      <c r="AQ59" s="18">
        <v>40</v>
      </c>
    </row>
    <row r="60" spans="1:43" ht="14.25" customHeight="1" x14ac:dyDescent="0.35">
      <c r="A60" s="8" t="s">
        <v>76</v>
      </c>
      <c r="B60" s="8" t="s">
        <v>77</v>
      </c>
      <c r="C60" s="8" t="s">
        <v>45</v>
      </c>
      <c r="D60" s="9" t="s">
        <v>46</v>
      </c>
      <c r="E60" s="8">
        <v>2023</v>
      </c>
      <c r="F60" s="38">
        <v>3.8500000000000001E-3</v>
      </c>
      <c r="G60" s="38">
        <v>0.66620000000000001</v>
      </c>
      <c r="H60" s="38">
        <v>0.86060000000000003</v>
      </c>
      <c r="I60" s="38">
        <v>0.1618</v>
      </c>
      <c r="J60" s="13">
        <v>135499198</v>
      </c>
      <c r="K60" s="28">
        <v>1351024069392</v>
      </c>
      <c r="L60" s="28">
        <v>6160532490687</v>
      </c>
      <c r="M60" s="28">
        <v>-33520814510</v>
      </c>
      <c r="N60" s="28">
        <v>-100144838404</v>
      </c>
      <c r="O60" s="13">
        <v>589181809</v>
      </c>
      <c r="P60" s="13">
        <v>345301034921</v>
      </c>
      <c r="Q60" s="28">
        <v>432192058959</v>
      </c>
      <c r="R60" s="13">
        <v>357445390628</v>
      </c>
      <c r="S60" s="13">
        <v>40355328267</v>
      </c>
      <c r="T60" s="13">
        <v>67466329695</v>
      </c>
      <c r="U60" s="13">
        <v>54618325927</v>
      </c>
      <c r="V60" s="13">
        <v>1153488416776</v>
      </c>
      <c r="W60" s="18" t="s">
        <v>47</v>
      </c>
      <c r="X60" s="18">
        <v>1</v>
      </c>
      <c r="Y60" s="18">
        <v>1</v>
      </c>
      <c r="Z60" s="28">
        <v>661288002217</v>
      </c>
      <c r="AA60" s="28">
        <v>3814237751342</v>
      </c>
      <c r="AB60" s="18" t="s">
        <v>47</v>
      </c>
      <c r="AC60" s="28">
        <v>2346294739345</v>
      </c>
      <c r="AD60" s="13">
        <v>301974343084</v>
      </c>
      <c r="AE60" s="13">
        <v>74305024821</v>
      </c>
      <c r="AF60" s="13">
        <v>341554832533</v>
      </c>
      <c r="AG60" s="28">
        <v>145835512937</v>
      </c>
      <c r="AH60" s="55">
        <v>1463426377066</v>
      </c>
      <c r="AI60" s="28">
        <v>2761558839599</v>
      </c>
      <c r="AJ60" s="28">
        <v>882868362279</v>
      </c>
      <c r="AK60" s="21">
        <v>-0.2092</v>
      </c>
      <c r="AL60" s="28">
        <v>325592274303</v>
      </c>
      <c r="AM60" s="13">
        <v>714426514616</v>
      </c>
      <c r="AN60" s="13">
        <v>4309</v>
      </c>
      <c r="AO60" s="13">
        <v>2187</v>
      </c>
      <c r="AP60" s="28">
        <v>1740613476366</v>
      </c>
      <c r="AQ60" s="18">
        <v>41</v>
      </c>
    </row>
    <row r="61" spans="1:43" ht="14.25" customHeight="1" x14ac:dyDescent="0.35">
      <c r="A61" s="8" t="s">
        <v>76</v>
      </c>
      <c r="B61" s="8" t="s">
        <v>77</v>
      </c>
      <c r="C61" s="8" t="s">
        <v>45</v>
      </c>
      <c r="D61" s="9" t="s">
        <v>46</v>
      </c>
      <c r="E61" s="8">
        <v>2024</v>
      </c>
      <c r="F61" s="32">
        <v>3.81E-3</v>
      </c>
      <c r="G61" s="38">
        <v>0.66620000000000001</v>
      </c>
      <c r="H61" s="38">
        <v>0.8901</v>
      </c>
      <c r="I61" s="38">
        <v>0.18149999999999999</v>
      </c>
      <c r="J61" s="13">
        <v>135499198</v>
      </c>
      <c r="K61" s="28">
        <v>1633090518901</v>
      </c>
      <c r="L61" s="28">
        <v>5931927851865</v>
      </c>
      <c r="M61" s="28">
        <v>-37580028492</v>
      </c>
      <c r="N61" s="28">
        <v>-132307583091</v>
      </c>
      <c r="O61" s="13">
        <v>478228088</v>
      </c>
      <c r="P61" s="13">
        <v>329946331376</v>
      </c>
      <c r="Q61" s="28">
        <v>470207783657</v>
      </c>
      <c r="R61" s="13">
        <v>629172125352</v>
      </c>
      <c r="S61" s="13">
        <v>9334176889</v>
      </c>
      <c r="T61" s="13">
        <v>84763968409</v>
      </c>
      <c r="U61" s="13">
        <v>56698043216</v>
      </c>
      <c r="V61" s="13">
        <v>1461482281614</v>
      </c>
      <c r="W61" s="18" t="s">
        <v>47</v>
      </c>
      <c r="X61" s="18">
        <v>1</v>
      </c>
      <c r="Y61" s="18">
        <v>1</v>
      </c>
      <c r="Z61" s="28">
        <v>483021699190</v>
      </c>
      <c r="AA61" s="28">
        <v>3919090627983</v>
      </c>
      <c r="AB61" s="18" t="s">
        <v>47</v>
      </c>
      <c r="AC61" s="28">
        <v>2012837223882</v>
      </c>
      <c r="AD61" s="13">
        <v>224423157680</v>
      </c>
      <c r="AE61" s="13">
        <v>64753783281</v>
      </c>
      <c r="AF61" s="13">
        <v>521156438136</v>
      </c>
      <c r="AG61" s="28">
        <v>190403886202</v>
      </c>
      <c r="AH61" s="55">
        <v>1408429410800</v>
      </c>
      <c r="AI61" s="28">
        <v>2570451321097</v>
      </c>
      <c r="AJ61" s="28">
        <v>604407813082</v>
      </c>
      <c r="AK61" s="21">
        <v>0.20780000000000001</v>
      </c>
      <c r="AL61" s="28">
        <v>405802511002</v>
      </c>
      <c r="AM61" s="13">
        <v>440801899334</v>
      </c>
      <c r="AN61" s="13">
        <v>3115</v>
      </c>
      <c r="AO61" s="13">
        <v>3673</v>
      </c>
      <c r="AP61" s="28">
        <v>1558547770331</v>
      </c>
      <c r="AQ61" s="18">
        <v>42</v>
      </c>
    </row>
    <row r="62" spans="1:43" ht="14.25" customHeight="1" x14ac:dyDescent="0.35">
      <c r="A62" s="8" t="s">
        <v>78</v>
      </c>
      <c r="B62" s="8" t="s">
        <v>79</v>
      </c>
      <c r="C62" s="8" t="s">
        <v>45</v>
      </c>
      <c r="D62" s="9" t="s">
        <v>58</v>
      </c>
      <c r="E62" s="8">
        <v>2020</v>
      </c>
      <c r="F62" s="38">
        <v>0.316</v>
      </c>
      <c r="G62" s="44">
        <v>0</v>
      </c>
      <c r="H62" s="38">
        <v>0.1716</v>
      </c>
      <c r="I62" s="38">
        <v>0.17269999999999999</v>
      </c>
      <c r="J62" s="13">
        <v>46059181</v>
      </c>
      <c r="K62" s="28">
        <v>5601236769697</v>
      </c>
      <c r="L62" s="28">
        <v>4773757358132</v>
      </c>
      <c r="M62" s="28">
        <v>-422107833423</v>
      </c>
      <c r="N62" s="28">
        <v>-196699532812</v>
      </c>
      <c r="O62" s="13">
        <v>26914873613</v>
      </c>
      <c r="P62" s="13">
        <v>1338255025327</v>
      </c>
      <c r="Q62" s="28">
        <v>439485403203</v>
      </c>
      <c r="R62" s="13">
        <v>1851394729240</v>
      </c>
      <c r="S62" s="13">
        <v>54879515276</v>
      </c>
      <c r="T62" s="13">
        <v>776733706725</v>
      </c>
      <c r="U62" s="13">
        <v>912999691009</v>
      </c>
      <c r="V62" s="13">
        <v>3732015948634</v>
      </c>
      <c r="W62" s="18" t="s">
        <v>47</v>
      </c>
      <c r="X62" s="18">
        <v>1</v>
      </c>
      <c r="Y62" s="18">
        <v>1</v>
      </c>
      <c r="Z62" s="28">
        <v>379305449080</v>
      </c>
      <c r="AA62" s="28">
        <v>1990625344656</v>
      </c>
      <c r="AB62" s="18" t="s">
        <v>47</v>
      </c>
      <c r="AC62" s="28">
        <v>2783132013476</v>
      </c>
      <c r="AD62" s="13">
        <v>829727692742</v>
      </c>
      <c r="AE62" s="13">
        <v>479978606735</v>
      </c>
      <c r="AF62" s="13">
        <v>497572550184</v>
      </c>
      <c r="AG62" s="28">
        <v>167783353561</v>
      </c>
      <c r="AH62" s="55">
        <v>320854362516</v>
      </c>
      <c r="AI62" s="28">
        <v>2738225731635</v>
      </c>
      <c r="AJ62" s="28">
        <v>2462277650960</v>
      </c>
      <c r="AK62" s="21">
        <v>9.5999999999999992E-3</v>
      </c>
      <c r="AL62" s="28">
        <v>1440420340899</v>
      </c>
      <c r="AM62" s="13">
        <v>150635987374</v>
      </c>
      <c r="AN62" s="13">
        <v>7709</v>
      </c>
      <c r="AO62" s="13">
        <v>7408</v>
      </c>
      <c r="AP62" s="28">
        <v>1462753741867</v>
      </c>
      <c r="AQ62" s="18">
        <v>26</v>
      </c>
    </row>
    <row r="63" spans="1:43" ht="14.25" customHeight="1" x14ac:dyDescent="0.35">
      <c r="A63" s="8" t="s">
        <v>78</v>
      </c>
      <c r="B63" s="8" t="s">
        <v>79</v>
      </c>
      <c r="C63" s="8" t="s">
        <v>45</v>
      </c>
      <c r="D63" s="9" t="s">
        <v>58</v>
      </c>
      <c r="E63" s="8">
        <v>2021</v>
      </c>
      <c r="F63" s="38">
        <v>0.39910000000000001</v>
      </c>
      <c r="G63" s="44">
        <v>0</v>
      </c>
      <c r="H63" s="38">
        <v>0.2364</v>
      </c>
      <c r="I63" s="38">
        <v>0.215</v>
      </c>
      <c r="J63" s="13">
        <v>48599441</v>
      </c>
      <c r="K63" s="28">
        <v>6491949040731</v>
      </c>
      <c r="L63" s="28">
        <v>5430878287077</v>
      </c>
      <c r="M63" s="28">
        <v>-550495885631</v>
      </c>
      <c r="N63" s="28">
        <v>-205122950138</v>
      </c>
      <c r="O63" s="13">
        <v>26009924512</v>
      </c>
      <c r="P63" s="13">
        <v>1633457267307</v>
      </c>
      <c r="Q63" s="28">
        <v>638120490829</v>
      </c>
      <c r="R63" s="13">
        <v>2512105168904</v>
      </c>
      <c r="S63" s="13">
        <v>102740348953</v>
      </c>
      <c r="T63" s="13">
        <v>475217107094</v>
      </c>
      <c r="U63" s="13">
        <v>1069252711334</v>
      </c>
      <c r="V63" s="13">
        <v>4722481302702</v>
      </c>
      <c r="W63" s="18" t="s">
        <v>47</v>
      </c>
      <c r="X63" s="18">
        <v>1</v>
      </c>
      <c r="Y63" s="18">
        <v>1</v>
      </c>
      <c r="Z63" s="28">
        <v>525894613782</v>
      </c>
      <c r="AA63" s="28">
        <v>2390733951007</v>
      </c>
      <c r="AB63" s="18" t="s">
        <v>47</v>
      </c>
      <c r="AC63" s="28">
        <v>3040144336070</v>
      </c>
      <c r="AD63" s="13">
        <v>159534941276</v>
      </c>
      <c r="AE63" s="13">
        <v>517698904725</v>
      </c>
      <c r="AF63" s="13">
        <v>363031485421</v>
      </c>
      <c r="AG63" s="28">
        <v>135866626171</v>
      </c>
      <c r="AH63" s="55">
        <v>375586216947</v>
      </c>
      <c r="AI63" s="28">
        <v>3179837356156</v>
      </c>
      <c r="AJ63" s="28">
        <v>2664558119123</v>
      </c>
      <c r="AK63" s="21">
        <v>0.15939999999999999</v>
      </c>
      <c r="AL63" s="28">
        <v>1859252166279</v>
      </c>
      <c r="AM63" s="13">
        <v>100291516250</v>
      </c>
      <c r="AN63" s="13">
        <v>11079</v>
      </c>
      <c r="AO63" s="13">
        <v>7109</v>
      </c>
      <c r="AP63" s="28">
        <v>1780223920710</v>
      </c>
      <c r="AQ63" s="18">
        <v>27</v>
      </c>
    </row>
    <row r="64" spans="1:43" ht="14.25" customHeight="1" x14ac:dyDescent="0.35">
      <c r="A64" s="8" t="s">
        <v>78</v>
      </c>
      <c r="B64" s="8" t="s">
        <v>79</v>
      </c>
      <c r="C64" s="8" t="s">
        <v>45</v>
      </c>
      <c r="D64" s="9" t="s">
        <v>58</v>
      </c>
      <c r="E64" s="8">
        <v>2022</v>
      </c>
      <c r="F64" s="38">
        <v>0.40739999999999998</v>
      </c>
      <c r="G64" s="44">
        <v>0</v>
      </c>
      <c r="H64" s="38">
        <v>0.153</v>
      </c>
      <c r="I64" s="38">
        <v>0.13300000000000001</v>
      </c>
      <c r="J64" s="13">
        <v>68038403</v>
      </c>
      <c r="K64" s="28">
        <v>6886522253734</v>
      </c>
      <c r="L64" s="28">
        <v>5238297875783</v>
      </c>
      <c r="M64" s="28">
        <v>-562684372653</v>
      </c>
      <c r="N64" s="28">
        <v>-232687750849</v>
      </c>
      <c r="O64" s="13">
        <v>21054613513</v>
      </c>
      <c r="P64" s="13">
        <v>1320296577617</v>
      </c>
      <c r="Q64" s="28">
        <v>618633085997</v>
      </c>
      <c r="R64" s="13">
        <v>2928388167451</v>
      </c>
      <c r="S64" s="14">
        <v>139550748138</v>
      </c>
      <c r="T64" s="13">
        <v>523522253250</v>
      </c>
      <c r="U64" s="13">
        <v>815425139342</v>
      </c>
      <c r="V64" s="13">
        <v>4955083315346</v>
      </c>
      <c r="W64" s="18" t="s">
        <v>47</v>
      </c>
      <c r="X64" s="18">
        <v>1</v>
      </c>
      <c r="Y64" s="18">
        <v>1</v>
      </c>
      <c r="Z64" s="28">
        <v>502438563190</v>
      </c>
      <c r="AA64" s="28">
        <v>2761260561125</v>
      </c>
      <c r="AB64" s="18" t="s">
        <v>47</v>
      </c>
      <c r="AC64" s="28">
        <v>2477037314658</v>
      </c>
      <c r="AD64" s="13">
        <v>762072285192</v>
      </c>
      <c r="AE64" s="13">
        <v>333230154686</v>
      </c>
      <c r="AF64" s="13">
        <v>241241348112</v>
      </c>
      <c r="AG64" s="28">
        <v>272074930811</v>
      </c>
      <c r="AH64" s="55">
        <v>166937203331</v>
      </c>
      <c r="AI64" s="28">
        <v>3055259243612</v>
      </c>
      <c r="AJ64" s="28">
        <v>2310100111327</v>
      </c>
      <c r="AK64" s="21">
        <v>6.0699999999999997E-2</v>
      </c>
      <c r="AL64" s="28">
        <v>1761764720250</v>
      </c>
      <c r="AM64" s="13">
        <v>250751053416</v>
      </c>
      <c r="AN64" s="13">
        <v>7165</v>
      </c>
      <c r="AO64" s="13">
        <v>6918</v>
      </c>
      <c r="AP64" s="28">
        <v>1796038893046</v>
      </c>
      <c r="AQ64" s="18">
        <v>28</v>
      </c>
    </row>
    <row r="65" spans="1:43" ht="14.25" customHeight="1" x14ac:dyDescent="0.35">
      <c r="A65" s="8" t="s">
        <v>78</v>
      </c>
      <c r="B65" s="8" t="s">
        <v>79</v>
      </c>
      <c r="C65" s="8" t="s">
        <v>45</v>
      </c>
      <c r="D65" s="9" t="s">
        <v>58</v>
      </c>
      <c r="E65" s="8">
        <v>2023</v>
      </c>
      <c r="F65" s="38">
        <v>0.4083</v>
      </c>
      <c r="G65" s="44">
        <v>0</v>
      </c>
      <c r="H65" s="38">
        <v>0.30580000000000002</v>
      </c>
      <c r="I65" s="38">
        <v>0.23300000000000001</v>
      </c>
      <c r="J65" s="13">
        <v>66938403</v>
      </c>
      <c r="K65" s="28">
        <v>5618569890239</v>
      </c>
      <c r="L65" s="28">
        <v>5263776311415</v>
      </c>
      <c r="M65" s="28">
        <v>-439292282902</v>
      </c>
      <c r="N65" s="28">
        <v>-248692530978</v>
      </c>
      <c r="O65" s="13">
        <v>21125798422</v>
      </c>
      <c r="P65" s="13">
        <v>1079781630365</v>
      </c>
      <c r="Q65" s="28">
        <v>335870663247</v>
      </c>
      <c r="R65" s="13">
        <v>1953451790910</v>
      </c>
      <c r="S65" s="13">
        <v>3498330172</v>
      </c>
      <c r="T65" s="13">
        <v>613260525491</v>
      </c>
      <c r="U65" s="13">
        <v>650552104797</v>
      </c>
      <c r="V65" s="13">
        <v>3711728404127</v>
      </c>
      <c r="W65" s="18" t="s">
        <v>47</v>
      </c>
      <c r="X65" s="18">
        <v>1</v>
      </c>
      <c r="Y65" s="18">
        <v>1</v>
      </c>
      <c r="Z65" s="28">
        <v>259467307655</v>
      </c>
      <c r="AA65" s="28">
        <v>2776717951706</v>
      </c>
      <c r="AB65" s="18" t="s">
        <v>47</v>
      </c>
      <c r="AC65" s="28">
        <v>2487058359709</v>
      </c>
      <c r="AD65" s="13">
        <v>778465741570</v>
      </c>
      <c r="AE65" s="13">
        <v>172352962169</v>
      </c>
      <c r="AF65" s="13">
        <v>412936620700</v>
      </c>
      <c r="AG65" s="28">
        <v>428337603384</v>
      </c>
      <c r="AH65" s="55">
        <v>134630435085</v>
      </c>
      <c r="AI65" s="28">
        <v>2941135680146</v>
      </c>
      <c r="AJ65" s="28">
        <v>2352427924624</v>
      </c>
      <c r="AK65" s="21">
        <v>-0.18440000000000001</v>
      </c>
      <c r="AL65" s="28">
        <v>1471566806749</v>
      </c>
      <c r="AM65" s="13">
        <v>205493137000</v>
      </c>
      <c r="AN65" s="13">
        <v>4313</v>
      </c>
      <c r="AO65" s="13">
        <v>6249</v>
      </c>
      <c r="AP65" s="28">
        <v>1740613476366</v>
      </c>
      <c r="AQ65" s="18">
        <v>29</v>
      </c>
    </row>
    <row r="66" spans="1:43" ht="14.25" customHeight="1" x14ac:dyDescent="0.35">
      <c r="A66" s="8" t="s">
        <v>78</v>
      </c>
      <c r="B66" s="8" t="s">
        <v>79</v>
      </c>
      <c r="C66" s="8" t="s">
        <v>45</v>
      </c>
      <c r="D66" s="9" t="s">
        <v>58</v>
      </c>
      <c r="E66" s="8">
        <v>2024</v>
      </c>
      <c r="F66" s="38">
        <v>0.40310000000000001</v>
      </c>
      <c r="G66" s="44">
        <v>0</v>
      </c>
      <c r="H66" s="38" t="s">
        <v>47</v>
      </c>
      <c r="I66" s="38">
        <v>0.25</v>
      </c>
      <c r="J66" s="13">
        <v>66938403</v>
      </c>
      <c r="K66" s="28">
        <v>6466470034276</v>
      </c>
      <c r="L66" s="28">
        <v>5489132951980</v>
      </c>
      <c r="M66" s="28">
        <v>-496931572409</v>
      </c>
      <c r="N66" s="28">
        <v>-264296123366</v>
      </c>
      <c r="O66" s="13">
        <v>15942915361</v>
      </c>
      <c r="P66" s="13">
        <v>1233305625186</v>
      </c>
      <c r="Q66" s="28">
        <v>444888141187</v>
      </c>
      <c r="R66" s="13">
        <v>2724259707275</v>
      </c>
      <c r="S66" s="13">
        <v>9603564846</v>
      </c>
      <c r="T66" s="13">
        <v>619380205232</v>
      </c>
      <c r="U66" s="13">
        <v>755404567956</v>
      </c>
      <c r="V66" s="13">
        <v>4739971954644</v>
      </c>
      <c r="W66" s="18" t="s">
        <v>47</v>
      </c>
      <c r="X66" s="18">
        <v>1</v>
      </c>
      <c r="Y66" s="18">
        <v>1</v>
      </c>
      <c r="Z66" s="28">
        <v>376311422056</v>
      </c>
      <c r="AA66" s="28">
        <v>3032888999676</v>
      </c>
      <c r="AB66" s="18" t="s">
        <v>47</v>
      </c>
      <c r="AC66" s="28">
        <v>2456243952304</v>
      </c>
      <c r="AD66" s="13">
        <v>436335985366</v>
      </c>
      <c r="AE66" s="13">
        <v>224807105789</v>
      </c>
      <c r="AF66" s="13">
        <v>187210550925</v>
      </c>
      <c r="AG66" s="28">
        <v>470850849148</v>
      </c>
      <c r="AH66" s="55">
        <v>104620313226</v>
      </c>
      <c r="AI66" s="28">
        <v>3313721396506</v>
      </c>
      <c r="AJ66" s="28">
        <v>2351623639078</v>
      </c>
      <c r="AK66" s="21">
        <v>0.15090000000000001</v>
      </c>
      <c r="AL66" s="28">
        <v>1454946134665</v>
      </c>
      <c r="AM66" s="13">
        <v>167452515000</v>
      </c>
      <c r="AN66" s="13">
        <v>5508</v>
      </c>
      <c r="AO66" s="13">
        <v>6315</v>
      </c>
      <c r="AP66" s="28">
        <v>1558547770331</v>
      </c>
      <c r="AQ66" s="18">
        <v>30</v>
      </c>
    </row>
    <row r="67" spans="1:43" ht="14.25" customHeight="1" x14ac:dyDescent="0.35">
      <c r="A67" s="8" t="s">
        <v>80</v>
      </c>
      <c r="B67" s="8" t="s">
        <v>81</v>
      </c>
      <c r="C67" s="8" t="s">
        <v>45</v>
      </c>
      <c r="D67" s="9" t="s">
        <v>69</v>
      </c>
      <c r="E67" s="8">
        <v>2020</v>
      </c>
      <c r="F67" s="38">
        <v>5.9999999999999995E-4</v>
      </c>
      <c r="G67" s="38">
        <v>0.51</v>
      </c>
      <c r="H67" s="38">
        <v>0.83140000000000003</v>
      </c>
      <c r="I67" s="38">
        <v>0.1686</v>
      </c>
      <c r="J67" s="13">
        <v>323651246</v>
      </c>
      <c r="K67" s="28">
        <v>7382693923902</v>
      </c>
      <c r="L67" s="28">
        <v>11089584286462</v>
      </c>
      <c r="M67" s="28">
        <v>-13866288559</v>
      </c>
      <c r="N67" s="28">
        <v>-250661978044</v>
      </c>
      <c r="O67" s="13">
        <v>1499874896</v>
      </c>
      <c r="P67" s="13">
        <v>3165745060249</v>
      </c>
      <c r="Q67" s="28">
        <v>981866992012</v>
      </c>
      <c r="R67" s="13">
        <v>1422793081961</v>
      </c>
      <c r="S67" s="13">
        <v>1133785804611</v>
      </c>
      <c r="T67" s="13">
        <v>251185162</v>
      </c>
      <c r="U67" s="13">
        <v>1475753522886</v>
      </c>
      <c r="V67" s="13">
        <v>5395213198307</v>
      </c>
      <c r="W67" s="18" t="s">
        <v>47</v>
      </c>
      <c r="X67" s="18">
        <v>1</v>
      </c>
      <c r="Y67" s="18">
        <v>1</v>
      </c>
      <c r="Z67" s="28">
        <v>830424584517</v>
      </c>
      <c r="AA67" s="28">
        <v>6278890061506</v>
      </c>
      <c r="AB67" s="18" t="s">
        <v>47</v>
      </c>
      <c r="AC67" s="28">
        <v>4810694224956</v>
      </c>
      <c r="AD67" s="13">
        <v>1535553385807</v>
      </c>
      <c r="AE67" s="13">
        <v>176147368438</v>
      </c>
      <c r="AF67" s="13">
        <v>326265107694</v>
      </c>
      <c r="AG67" s="28">
        <v>1472901602636</v>
      </c>
      <c r="AH67" s="55">
        <v>2391397908050</v>
      </c>
      <c r="AI67" s="28">
        <v>4662070740676</v>
      </c>
      <c r="AJ67" s="28">
        <v>2419296316906</v>
      </c>
      <c r="AK67" s="21">
        <v>-4.8399999999999999E-2</v>
      </c>
      <c r="AL67" s="28">
        <v>112296418440</v>
      </c>
      <c r="AM67" s="13">
        <v>168756674200</v>
      </c>
      <c r="AN67" s="13">
        <v>1946</v>
      </c>
      <c r="AO67" s="13">
        <v>2001</v>
      </c>
      <c r="AP67" s="28">
        <v>5860054469445</v>
      </c>
      <c r="AQ67" s="18">
        <v>18</v>
      </c>
    </row>
    <row r="68" spans="1:43" ht="14.25" customHeight="1" x14ac:dyDescent="0.35">
      <c r="A68" s="8" t="s">
        <v>80</v>
      </c>
      <c r="B68" s="8" t="s">
        <v>81</v>
      </c>
      <c r="C68" s="8" t="s">
        <v>45</v>
      </c>
      <c r="D68" s="9" t="s">
        <v>69</v>
      </c>
      <c r="E68" s="8">
        <v>2021</v>
      </c>
      <c r="F68" s="38">
        <v>6.9999999999999999E-4</v>
      </c>
      <c r="G68" s="38">
        <v>0.51</v>
      </c>
      <c r="H68" s="38">
        <v>0.92720000000000002</v>
      </c>
      <c r="I68" s="38">
        <v>0.14099999999999999</v>
      </c>
      <c r="J68" s="13">
        <v>323651246</v>
      </c>
      <c r="K68" s="28">
        <v>7460234126265</v>
      </c>
      <c r="L68" s="28">
        <v>12493219801571</v>
      </c>
      <c r="M68" s="28">
        <v>-10492585874</v>
      </c>
      <c r="N68" s="28">
        <v>-277486387570</v>
      </c>
      <c r="O68" s="13">
        <v>890074555</v>
      </c>
      <c r="P68" s="13">
        <v>3676853647793</v>
      </c>
      <c r="Q68" s="28">
        <v>998271136783</v>
      </c>
      <c r="R68" s="13">
        <v>1374234251995</v>
      </c>
      <c r="S68" s="13">
        <v>680654382331</v>
      </c>
      <c r="T68" s="13">
        <v>17425762</v>
      </c>
      <c r="U68" s="13">
        <v>2350791516504</v>
      </c>
      <c r="V68" s="13">
        <v>5829602088340</v>
      </c>
      <c r="W68" s="18" t="s">
        <v>47</v>
      </c>
      <c r="X68" s="18">
        <v>1</v>
      </c>
      <c r="Y68" s="18">
        <v>1</v>
      </c>
      <c r="Z68" s="28">
        <v>834514740028</v>
      </c>
      <c r="AA68" s="28">
        <v>6963197715178</v>
      </c>
      <c r="AB68" s="18" t="s">
        <v>47</v>
      </c>
      <c r="AC68" s="28">
        <v>5530022086393</v>
      </c>
      <c r="AD68" s="13">
        <v>828608931335</v>
      </c>
      <c r="AE68" s="13">
        <v>1935502711608</v>
      </c>
      <c r="AF68" s="13">
        <v>1599473771937</v>
      </c>
      <c r="AG68" s="28">
        <v>1283386854560</v>
      </c>
      <c r="AH68" s="55">
        <v>3080102836296</v>
      </c>
      <c r="AI68" s="28">
        <v>4849728123623</v>
      </c>
      <c r="AJ68" s="28">
        <v>2449919250097</v>
      </c>
      <c r="AK68" s="21">
        <v>1.0500000000000001E-2</v>
      </c>
      <c r="AL68" s="28">
        <v>141926455000</v>
      </c>
      <c r="AM68" s="13">
        <v>382512410600</v>
      </c>
      <c r="AN68" s="13">
        <v>1933</v>
      </c>
      <c r="AO68" s="13">
        <v>2410</v>
      </c>
      <c r="AP68" s="28">
        <v>6975627100741</v>
      </c>
      <c r="AQ68" s="18">
        <v>19</v>
      </c>
    </row>
    <row r="69" spans="1:43" ht="14.25" customHeight="1" x14ac:dyDescent="0.35">
      <c r="A69" s="8" t="s">
        <v>80</v>
      </c>
      <c r="B69" s="8" t="s">
        <v>81</v>
      </c>
      <c r="C69" s="8" t="s">
        <v>45</v>
      </c>
      <c r="D69" s="9" t="s">
        <v>69</v>
      </c>
      <c r="E69" s="8">
        <v>2022</v>
      </c>
      <c r="F69" s="38">
        <v>1E-3</v>
      </c>
      <c r="G69" s="38">
        <v>0.51</v>
      </c>
      <c r="H69" s="38" t="s">
        <v>47</v>
      </c>
      <c r="I69" s="38" t="s">
        <v>47</v>
      </c>
      <c r="J69" s="13">
        <v>323651246</v>
      </c>
      <c r="K69" s="28">
        <v>9047363208116</v>
      </c>
      <c r="L69" s="28">
        <v>14251652954694</v>
      </c>
      <c r="M69" s="28">
        <v>-12873930300</v>
      </c>
      <c r="N69" s="28">
        <v>-407652508769</v>
      </c>
      <c r="O69" s="13">
        <v>156654953</v>
      </c>
      <c r="P69" s="13">
        <v>4013082337411</v>
      </c>
      <c r="Q69" s="28">
        <v>1169357260175</v>
      </c>
      <c r="R69" s="13">
        <v>1614449661484</v>
      </c>
      <c r="S69" s="13">
        <v>946807731725</v>
      </c>
      <c r="T69" s="13">
        <v>420225195</v>
      </c>
      <c r="U69" s="13">
        <v>2410236966943</v>
      </c>
      <c r="V69" s="13">
        <v>6654746892903</v>
      </c>
      <c r="W69" s="18" t="s">
        <v>47</v>
      </c>
      <c r="X69" s="18">
        <v>1</v>
      </c>
      <c r="Y69" s="18">
        <v>1</v>
      </c>
      <c r="Z69" s="28">
        <v>1155847083742</v>
      </c>
      <c r="AA69" s="28">
        <v>8014058773970</v>
      </c>
      <c r="AB69" s="18" t="s">
        <v>47</v>
      </c>
      <c r="AC69" s="28">
        <v>6237594180724</v>
      </c>
      <c r="AD69" s="13">
        <v>2171898762566</v>
      </c>
      <c r="AE69" s="13">
        <v>1660712011334</v>
      </c>
      <c r="AF69" s="13">
        <v>2019795180416</v>
      </c>
      <c r="AG69" s="28">
        <v>1793749749410</v>
      </c>
      <c r="AH69" s="55">
        <v>3182293041995</v>
      </c>
      <c r="AI69" s="28">
        <v>6286266493364</v>
      </c>
      <c r="AJ69" s="28">
        <v>3055301138729</v>
      </c>
      <c r="AK69" s="21">
        <v>0.2127</v>
      </c>
      <c r="AL69" s="28">
        <v>179274820292</v>
      </c>
      <c r="AM69" s="13">
        <v>40494919310</v>
      </c>
      <c r="AN69" s="13">
        <v>2500</v>
      </c>
      <c r="AO69" s="13">
        <v>2181</v>
      </c>
      <c r="AP69" s="28">
        <v>7260294568541</v>
      </c>
      <c r="AQ69" s="18">
        <v>20</v>
      </c>
    </row>
    <row r="70" spans="1:43" ht="14.25" customHeight="1" x14ac:dyDescent="0.35">
      <c r="A70" s="8" t="s">
        <v>80</v>
      </c>
      <c r="B70" s="8" t="s">
        <v>81</v>
      </c>
      <c r="C70" s="8" t="s">
        <v>45</v>
      </c>
      <c r="D70" s="9" t="s">
        <v>69</v>
      </c>
      <c r="E70" s="8">
        <v>2023</v>
      </c>
      <c r="F70" s="38">
        <v>5.5999999999999995E-4</v>
      </c>
      <c r="G70" s="38">
        <v>0.51</v>
      </c>
      <c r="H70" s="38">
        <v>0.51</v>
      </c>
      <c r="I70" s="38" t="s">
        <v>47</v>
      </c>
      <c r="J70" s="13">
        <v>323651246</v>
      </c>
      <c r="K70" s="28">
        <v>9555979392223</v>
      </c>
      <c r="L70" s="28">
        <v>17489953434753</v>
      </c>
      <c r="M70" s="28">
        <v>-13386162080</v>
      </c>
      <c r="N70" s="28">
        <v>-410025680845</v>
      </c>
      <c r="O70" s="13">
        <v>2231348872</v>
      </c>
      <c r="P70" s="13">
        <v>4664615465226</v>
      </c>
      <c r="Q70" s="28">
        <v>1346182796862</v>
      </c>
      <c r="R70" s="13">
        <v>1670012154462</v>
      </c>
      <c r="S70" s="13">
        <v>762742147498</v>
      </c>
      <c r="T70" s="13">
        <v>98871539</v>
      </c>
      <c r="U70" s="13">
        <v>2704009855553</v>
      </c>
      <c r="V70" s="13">
        <v>7378153498116</v>
      </c>
      <c r="W70" s="18" t="s">
        <v>47</v>
      </c>
      <c r="X70" s="18">
        <v>1</v>
      </c>
      <c r="Y70" s="18">
        <v>1</v>
      </c>
      <c r="Z70" s="28">
        <v>1221500695571</v>
      </c>
      <c r="AA70" s="28">
        <v>9030394792063</v>
      </c>
      <c r="AB70" s="18" t="s">
        <v>47</v>
      </c>
      <c r="AC70" s="28">
        <v>8459558642690</v>
      </c>
      <c r="AD70" s="13">
        <v>1699201999736</v>
      </c>
      <c r="AE70" s="13">
        <v>4186166428696</v>
      </c>
      <c r="AF70" s="13">
        <v>4599714218727</v>
      </c>
      <c r="AG70" s="28">
        <v>979225965598</v>
      </c>
      <c r="AH70" s="55">
        <v>5067345055884</v>
      </c>
      <c r="AI70" s="28">
        <v>6297471017134</v>
      </c>
      <c r="AJ70" s="28">
        <v>3392213586806</v>
      </c>
      <c r="AK70" s="21">
        <v>5.62E-2</v>
      </c>
      <c r="AL70" s="28">
        <v>232665394329</v>
      </c>
      <c r="AM70" s="13">
        <v>97030132400</v>
      </c>
      <c r="AN70" s="13">
        <v>2829</v>
      </c>
      <c r="AO70" s="13">
        <v>2341</v>
      </c>
      <c r="AP70" s="28">
        <v>10088092507886</v>
      </c>
      <c r="AQ70" s="18">
        <v>21</v>
      </c>
    </row>
    <row r="71" spans="1:43" ht="14.25" customHeight="1" x14ac:dyDescent="0.35">
      <c r="A71" s="8" t="s">
        <v>80</v>
      </c>
      <c r="B71" s="8" t="s">
        <v>81</v>
      </c>
      <c r="C71" s="8" t="s">
        <v>45</v>
      </c>
      <c r="D71" s="9" t="s">
        <v>69</v>
      </c>
      <c r="E71" s="8">
        <v>2024</v>
      </c>
      <c r="F71" s="38">
        <v>5.9999999999999995E-4</v>
      </c>
      <c r="G71" s="38">
        <v>0.51</v>
      </c>
      <c r="H71" s="38">
        <v>0.72699999999999998</v>
      </c>
      <c r="I71" s="38">
        <v>0.11899999999999999</v>
      </c>
      <c r="J71" s="13">
        <v>356012638</v>
      </c>
      <c r="K71" s="28">
        <v>11732148061983</v>
      </c>
      <c r="L71" s="28">
        <v>19858153052749</v>
      </c>
      <c r="M71" s="28">
        <v>-16586106482</v>
      </c>
      <c r="N71" s="28">
        <v>-488801469185</v>
      </c>
      <c r="O71" s="13">
        <v>1846287201</v>
      </c>
      <c r="P71" s="13">
        <v>5477623420687</v>
      </c>
      <c r="Q71" s="28">
        <v>1687942917331</v>
      </c>
      <c r="R71" s="34">
        <v>1398640772657</v>
      </c>
      <c r="S71" s="13">
        <v>1792768210873</v>
      </c>
      <c r="T71" s="13">
        <v>249883596</v>
      </c>
      <c r="U71" s="13">
        <v>3083684541511</v>
      </c>
      <c r="V71" s="13">
        <v>8000965945702</v>
      </c>
      <c r="W71" s="18" t="s">
        <v>47</v>
      </c>
      <c r="X71" s="18">
        <v>1</v>
      </c>
      <c r="Y71" s="18">
        <v>1</v>
      </c>
      <c r="Z71" s="28">
        <v>1469628360919</v>
      </c>
      <c r="AA71" s="28">
        <v>10389474545148</v>
      </c>
      <c r="AB71" s="18" t="s">
        <v>47</v>
      </c>
      <c r="AC71" s="28">
        <v>9468678507601</v>
      </c>
      <c r="AD71" s="13">
        <v>2567966837828</v>
      </c>
      <c r="AE71" s="13">
        <v>3965706557109</v>
      </c>
      <c r="AF71" s="13">
        <v>3317439638912</v>
      </c>
      <c r="AG71" s="28">
        <v>1152030770539</v>
      </c>
      <c r="AH71" s="55">
        <v>5754381933987</v>
      </c>
      <c r="AI71" s="28">
        <v>6648001421674</v>
      </c>
      <c r="AJ71" s="28">
        <v>3714296573614</v>
      </c>
      <c r="AK71" s="21">
        <v>0.22770000000000001</v>
      </c>
      <c r="AL71" s="28">
        <v>331073290370</v>
      </c>
      <c r="AM71" s="13">
        <v>152170634540</v>
      </c>
      <c r="AN71" s="13">
        <v>2879</v>
      </c>
      <c r="AO71" s="13">
        <v>2731</v>
      </c>
      <c r="AP71" s="28">
        <v>12062018494455</v>
      </c>
      <c r="AQ71" s="18">
        <v>22</v>
      </c>
    </row>
    <row r="72" spans="1:43" ht="14.25" customHeight="1" x14ac:dyDescent="0.35">
      <c r="A72" s="8" t="s">
        <v>82</v>
      </c>
      <c r="B72" s="8" t="s">
        <v>83</v>
      </c>
      <c r="C72" s="8" t="s">
        <v>45</v>
      </c>
      <c r="D72" s="9" t="s">
        <v>50</v>
      </c>
      <c r="E72" s="8">
        <v>2020</v>
      </c>
      <c r="F72" s="18" t="s">
        <v>84</v>
      </c>
      <c r="G72" s="11">
        <v>0</v>
      </c>
      <c r="H72" s="18" t="s">
        <v>85</v>
      </c>
      <c r="I72" s="18" t="s">
        <v>86</v>
      </c>
      <c r="J72" s="18" t="s">
        <v>87</v>
      </c>
      <c r="K72" s="28">
        <v>14309200780449</v>
      </c>
      <c r="L72" s="28">
        <v>19197627435774</v>
      </c>
      <c r="M72" s="28">
        <v>-533898081605</v>
      </c>
      <c r="N72" s="28">
        <v>-342079670028</v>
      </c>
      <c r="O72" s="13">
        <v>226740803653</v>
      </c>
      <c r="P72" s="13">
        <v>1409273957231</v>
      </c>
      <c r="Q72" s="28">
        <v>744898600609</v>
      </c>
      <c r="R72" s="13">
        <v>11863729539177</v>
      </c>
      <c r="S72" s="13">
        <v>13082768709592</v>
      </c>
      <c r="T72" s="13">
        <v>444169101425</v>
      </c>
      <c r="U72" s="13">
        <v>142924498445</v>
      </c>
      <c r="V72" s="13">
        <v>13812898359706</v>
      </c>
      <c r="W72" s="18" t="s">
        <v>47</v>
      </c>
      <c r="X72" s="18">
        <v>1</v>
      </c>
      <c r="Y72" s="18">
        <v>1</v>
      </c>
      <c r="Z72" s="28">
        <v>598350458548</v>
      </c>
      <c r="AA72" s="28">
        <v>8054003332218</v>
      </c>
      <c r="AB72" s="18" t="s">
        <v>47</v>
      </c>
      <c r="AC72" s="28">
        <v>11143624103556</v>
      </c>
      <c r="AD72" s="13">
        <v>72534419012</v>
      </c>
      <c r="AE72" s="13">
        <v>347932042951</v>
      </c>
      <c r="AF72" s="13">
        <v>1185254382332</v>
      </c>
      <c r="AG72" s="28">
        <v>979613448048</v>
      </c>
      <c r="AH72" s="55">
        <v>3661030875170</v>
      </c>
      <c r="AI72" s="28">
        <v>11142148693478</v>
      </c>
      <c r="AJ72" s="28">
        <v>8740482678398</v>
      </c>
      <c r="AK72" s="21">
        <v>0.26019999999999999</v>
      </c>
      <c r="AL72" s="28">
        <v>2126098286382</v>
      </c>
      <c r="AM72" s="13">
        <v>214065647645</v>
      </c>
      <c r="AN72" s="18">
        <v>531</v>
      </c>
      <c r="AO72" s="13">
        <v>2691</v>
      </c>
      <c r="AP72" s="28">
        <v>4129026393860</v>
      </c>
      <c r="AQ72" s="18">
        <v>25</v>
      </c>
    </row>
    <row r="73" spans="1:43" ht="14.25" customHeight="1" x14ac:dyDescent="0.35">
      <c r="A73" s="8" t="s">
        <v>82</v>
      </c>
      <c r="B73" s="8" t="s">
        <v>83</v>
      </c>
      <c r="C73" s="8" t="s">
        <v>45</v>
      </c>
      <c r="D73" s="9" t="s">
        <v>50</v>
      </c>
      <c r="E73" s="8">
        <v>2021</v>
      </c>
      <c r="F73" s="18" t="s">
        <v>88</v>
      </c>
      <c r="G73" s="33">
        <v>0</v>
      </c>
      <c r="H73" s="18" t="s">
        <v>85</v>
      </c>
      <c r="I73" s="18" t="s">
        <v>86</v>
      </c>
      <c r="J73" s="18" t="s">
        <v>89</v>
      </c>
      <c r="K73" s="28">
        <v>16658614894002</v>
      </c>
      <c r="L73" s="28">
        <v>23499947456476</v>
      </c>
      <c r="M73" s="28">
        <v>-582092973545</v>
      </c>
      <c r="N73" s="28">
        <v>-703712834129</v>
      </c>
      <c r="O73" s="13">
        <v>330334295978</v>
      </c>
      <c r="P73" s="13">
        <v>783120866740</v>
      </c>
      <c r="Q73" s="28">
        <v>1186518143279</v>
      </c>
      <c r="R73" s="13">
        <v>14866164660228</v>
      </c>
      <c r="S73" s="13">
        <v>15989326411037</v>
      </c>
      <c r="T73" s="13">
        <v>468371704167</v>
      </c>
      <c r="U73" s="13">
        <v>539894863298</v>
      </c>
      <c r="V73" s="13">
        <v>17169854173850</v>
      </c>
      <c r="W73" s="18" t="s">
        <v>47</v>
      </c>
      <c r="X73" s="18">
        <v>1</v>
      </c>
      <c r="Y73" s="18">
        <v>1</v>
      </c>
      <c r="Z73" s="28">
        <v>804173720221</v>
      </c>
      <c r="AA73" s="28">
        <v>9441571803054</v>
      </c>
      <c r="AB73" s="18" t="s">
        <v>47</v>
      </c>
      <c r="AC73" s="28">
        <v>14058375653422</v>
      </c>
      <c r="AD73" s="13">
        <v>94624273591</v>
      </c>
      <c r="AE73" s="13">
        <v>142288857489</v>
      </c>
      <c r="AF73" s="13">
        <v>2619102639249</v>
      </c>
      <c r="AG73" s="28">
        <v>2173837345095</v>
      </c>
      <c r="AH73" s="55">
        <v>2766529188351</v>
      </c>
      <c r="AI73" s="28">
        <v>15019928021130</v>
      </c>
      <c r="AJ73" s="28">
        <v>10576657944569</v>
      </c>
      <c r="AK73" s="21">
        <v>0.16420000000000001</v>
      </c>
      <c r="AL73" s="28">
        <v>3005821122777</v>
      </c>
      <c r="AM73" s="13">
        <v>328922878030</v>
      </c>
      <c r="AN73" s="18">
        <v>932</v>
      </c>
      <c r="AO73" s="13">
        <v>2635</v>
      </c>
      <c r="AP73" s="28">
        <v>4397345338436</v>
      </c>
      <c r="AQ73" s="18">
        <v>26</v>
      </c>
    </row>
    <row r="74" spans="1:43" ht="14.25" customHeight="1" x14ac:dyDescent="0.35">
      <c r="A74" s="8" t="s">
        <v>82</v>
      </c>
      <c r="B74" s="8" t="s">
        <v>83</v>
      </c>
      <c r="C74" s="8" t="s">
        <v>45</v>
      </c>
      <c r="D74" s="9" t="s">
        <v>50</v>
      </c>
      <c r="E74" s="8">
        <v>2022</v>
      </c>
      <c r="F74" s="18" t="s">
        <v>90</v>
      </c>
      <c r="G74" s="11">
        <v>0</v>
      </c>
      <c r="H74" s="18" t="s">
        <v>91</v>
      </c>
      <c r="I74" s="18" t="s">
        <v>92</v>
      </c>
      <c r="J74" s="18" t="s">
        <v>93</v>
      </c>
      <c r="K74" s="28">
        <v>21253536103223</v>
      </c>
      <c r="L74" s="28">
        <v>29041226104273</v>
      </c>
      <c r="M74" s="28">
        <v>-643520155614</v>
      </c>
      <c r="N74" s="28">
        <v>-604859097209</v>
      </c>
      <c r="O74" s="13">
        <v>876626204967</v>
      </c>
      <c r="P74" s="13">
        <v>510336527132</v>
      </c>
      <c r="Q74" s="28">
        <v>885046362849</v>
      </c>
      <c r="R74" s="13">
        <v>21023012472619</v>
      </c>
      <c r="S74" s="13">
        <f>20285993904638+309054061294+209112513557+223306868099+1426899916472-1464672144139</f>
        <v>20989695119921</v>
      </c>
      <c r="T74" s="13">
        <v>362373534111</v>
      </c>
      <c r="U74" s="13">
        <v>815695274040</v>
      </c>
      <c r="V74" s="13">
        <v>23403965099527</v>
      </c>
      <c r="W74" s="18" t="s">
        <v>47</v>
      </c>
      <c r="X74" s="18">
        <v>1</v>
      </c>
      <c r="Y74" s="18">
        <v>1</v>
      </c>
      <c r="Z74" s="28">
        <v>812998383621</v>
      </c>
      <c r="AA74" s="28">
        <v>10177177598527</v>
      </c>
      <c r="AB74" s="18" t="s">
        <v>47</v>
      </c>
      <c r="AC74" s="28">
        <v>18864048505746</v>
      </c>
      <c r="AD74" s="13">
        <v>1174693258695</v>
      </c>
      <c r="AE74" s="13">
        <v>2071976495190</v>
      </c>
      <c r="AF74" s="13">
        <v>431783332936</v>
      </c>
      <c r="AG74" s="28">
        <v>2509137282635</v>
      </c>
      <c r="AH74" s="55">
        <v>2233770899278</v>
      </c>
      <c r="AI74" s="28">
        <v>18697322495516</v>
      </c>
      <c r="AJ74" s="28">
        <v>16227008582331</v>
      </c>
      <c r="AK74" s="21">
        <v>0</v>
      </c>
      <c r="AL74" s="28">
        <v>4699949629095</v>
      </c>
      <c r="AM74" s="13">
        <v>71764375915</v>
      </c>
      <c r="AN74" s="18">
        <v>1.167</v>
      </c>
      <c r="AO74" s="13">
        <v>2452</v>
      </c>
      <c r="AP74" s="28">
        <v>4349758469834</v>
      </c>
      <c r="AQ74" s="18">
        <v>27</v>
      </c>
    </row>
    <row r="75" spans="1:43" ht="14.25" customHeight="1" x14ac:dyDescent="0.35">
      <c r="A75" s="8" t="s">
        <v>82</v>
      </c>
      <c r="B75" s="8" t="s">
        <v>83</v>
      </c>
      <c r="C75" s="8" t="s">
        <v>45</v>
      </c>
      <c r="D75" s="9" t="s">
        <v>50</v>
      </c>
      <c r="E75" s="8">
        <v>2023</v>
      </c>
      <c r="F75" s="18" t="s">
        <v>90</v>
      </c>
      <c r="G75" s="30">
        <v>0</v>
      </c>
      <c r="H75" s="18" t="s">
        <v>94</v>
      </c>
      <c r="I75" s="18" t="s">
        <v>95</v>
      </c>
      <c r="J75" s="18" t="s">
        <v>96</v>
      </c>
      <c r="K75" s="28">
        <v>25892256822765</v>
      </c>
      <c r="L75" s="28">
        <v>34134964877703</v>
      </c>
      <c r="M75" s="28">
        <v>-659009315166</v>
      </c>
      <c r="N75" s="28">
        <v>-673864043298</v>
      </c>
      <c r="O75" s="13">
        <v>984569962279</v>
      </c>
      <c r="P75" s="13">
        <v>536256457726</v>
      </c>
      <c r="Q75" s="28">
        <v>789993332040</v>
      </c>
      <c r="R75" s="13">
        <v>24752021934179</v>
      </c>
      <c r="S75" s="22">
        <f>23672331388738+752777731358 +273732376099+268945176645+129237801026+843083314997-1426899916472</f>
        <v>24513207872391</v>
      </c>
      <c r="T75" s="13">
        <v>375005447830</v>
      </c>
      <c r="U75" s="13">
        <v>1000958627627</v>
      </c>
      <c r="V75" s="13">
        <v>27349788508841</v>
      </c>
      <c r="W75" s="18" t="s">
        <v>47</v>
      </c>
      <c r="X75" s="18">
        <v>1</v>
      </c>
      <c r="Y75" s="18">
        <v>1</v>
      </c>
      <c r="Z75" s="28">
        <v>618602309071</v>
      </c>
      <c r="AA75" s="28">
        <v>11133434432475</v>
      </c>
      <c r="AB75" s="18" t="s">
        <v>47</v>
      </c>
      <c r="AC75" s="28">
        <v>23001530445228</v>
      </c>
      <c r="AD75" s="13">
        <v>538741326891</v>
      </c>
      <c r="AE75" s="13">
        <v>261991525437</v>
      </c>
      <c r="AF75" s="13">
        <v>581123515333</v>
      </c>
      <c r="AG75" s="28">
        <v>4587680404674</v>
      </c>
      <c r="AH75" s="55">
        <v>3534531976601</v>
      </c>
      <c r="AI75" s="28">
        <v>24200170293732</v>
      </c>
      <c r="AJ75" s="28">
        <v>20031221717450</v>
      </c>
      <c r="AK75" s="21">
        <v>0</v>
      </c>
      <c r="AL75" s="28">
        <v>3439520469686</v>
      </c>
      <c r="AM75" s="13">
        <v>77809392085</v>
      </c>
      <c r="AN75" s="18" t="s">
        <v>97</v>
      </c>
      <c r="AO75" s="18">
        <v>2.4990000000000001</v>
      </c>
      <c r="AP75" s="28">
        <v>3997185523802</v>
      </c>
      <c r="AQ75" s="18">
        <v>28</v>
      </c>
    </row>
    <row r="76" spans="1:43" ht="14.25" customHeight="1" x14ac:dyDescent="0.35">
      <c r="A76" s="8" t="s">
        <v>82</v>
      </c>
      <c r="B76" s="8" t="s">
        <v>83</v>
      </c>
      <c r="C76" s="8" t="s">
        <v>45</v>
      </c>
      <c r="D76" s="9" t="s">
        <v>50</v>
      </c>
      <c r="E76" s="8">
        <v>2024</v>
      </c>
      <c r="F76" s="18" t="s">
        <v>90</v>
      </c>
      <c r="G76" s="11">
        <v>0</v>
      </c>
      <c r="H76" s="18" t="s">
        <v>98</v>
      </c>
      <c r="I76" s="18" t="s">
        <v>99</v>
      </c>
      <c r="J76" s="18" t="s">
        <v>100</v>
      </c>
      <c r="K76" s="28">
        <v>29995184822710</v>
      </c>
      <c r="L76" s="28">
        <v>33959461158828</v>
      </c>
      <c r="M76" s="28">
        <v>-738779858902</v>
      </c>
      <c r="N76" s="28">
        <v>-862629238409</v>
      </c>
      <c r="O76" s="13">
        <v>786433450811</v>
      </c>
      <c r="P76" s="13">
        <v>1849047600758</v>
      </c>
      <c r="Q76" s="28">
        <v>1008006596925</v>
      </c>
      <c r="R76" s="22">
        <v>23973062071001</v>
      </c>
      <c r="S76" s="22">
        <f>23586921228850+533526960324+349396241141+308558791411+129237801026+807280050441-843083314997</f>
        <v>24871837758196</v>
      </c>
      <c r="T76" s="13">
        <v>236393137640</v>
      </c>
      <c r="U76" s="13">
        <v>1111244517581</v>
      </c>
      <c r="V76" s="22">
        <v>26920261247995</v>
      </c>
      <c r="W76" s="18" t="s">
        <v>47</v>
      </c>
      <c r="X76" s="18">
        <v>1</v>
      </c>
      <c r="Y76" s="18">
        <v>1</v>
      </c>
      <c r="Z76" s="28">
        <v>876674433610</v>
      </c>
      <c r="AA76" s="28">
        <v>10555376315087</v>
      </c>
      <c r="AB76" s="18" t="s">
        <v>47</v>
      </c>
      <c r="AC76" s="28">
        <v>23404084843741</v>
      </c>
      <c r="AD76" s="13">
        <v>62927204371</v>
      </c>
      <c r="AE76" s="13">
        <v>640269376052</v>
      </c>
      <c r="AF76" s="13">
        <v>2955393062298</v>
      </c>
      <c r="AG76" s="28">
        <v>5181364424769</v>
      </c>
      <c r="AH76" s="28">
        <v>6278642086333</v>
      </c>
      <c r="AI76" s="28">
        <v>21392204481154</v>
      </c>
      <c r="AJ76" s="28">
        <v>18270357585005</v>
      </c>
      <c r="AK76" s="21">
        <v>0.15690000000000001</v>
      </c>
      <c r="AL76" s="28">
        <v>3233002164328</v>
      </c>
      <c r="AM76" s="13">
        <v>77819447965</v>
      </c>
      <c r="AN76" s="18">
        <v>665.65</v>
      </c>
      <c r="AO76" s="13">
        <v>2499</v>
      </c>
      <c r="AP76" s="28">
        <v>3751280568501</v>
      </c>
      <c r="AQ76" s="18">
        <v>29</v>
      </c>
    </row>
    <row r="77" spans="1:43" ht="14.25" customHeight="1" x14ac:dyDescent="0.35">
      <c r="A77" s="8" t="s">
        <v>101</v>
      </c>
      <c r="B77" s="8" t="s">
        <v>102</v>
      </c>
      <c r="C77" s="8" t="s">
        <v>45</v>
      </c>
      <c r="D77" s="9" t="s">
        <v>69</v>
      </c>
      <c r="E77" s="8">
        <v>2020</v>
      </c>
      <c r="F77" s="38">
        <v>1.21E-2</v>
      </c>
      <c r="G77" s="38">
        <v>0.4803</v>
      </c>
      <c r="H77" s="32">
        <v>0.89480000000000004</v>
      </c>
      <c r="I77" s="38">
        <v>2.3900000000000001E-2</v>
      </c>
      <c r="J77" s="13">
        <v>33533591</v>
      </c>
      <c r="K77" s="28">
        <v>730826982071</v>
      </c>
      <c r="L77" s="13">
        <v>1045520451171</v>
      </c>
      <c r="M77" s="18">
        <v>0</v>
      </c>
      <c r="N77" s="13">
        <v>-73237754786</v>
      </c>
      <c r="O77" s="13">
        <v>12310250000</v>
      </c>
      <c r="P77" s="13">
        <v>289059180539</v>
      </c>
      <c r="Q77" s="13">
        <v>109227193466</v>
      </c>
      <c r="R77" s="13">
        <v>19912744843</v>
      </c>
      <c r="S77" s="56">
        <v>0</v>
      </c>
      <c r="T77" s="18" t="s">
        <v>47</v>
      </c>
      <c r="U77" s="13">
        <v>152504891280</v>
      </c>
      <c r="V77" s="13">
        <v>636212606751</v>
      </c>
      <c r="W77" s="18" t="s">
        <v>47</v>
      </c>
      <c r="X77" s="18">
        <v>0</v>
      </c>
      <c r="Y77" s="18">
        <v>1</v>
      </c>
      <c r="Z77" s="13">
        <v>86109258348</v>
      </c>
      <c r="AA77" s="13">
        <v>885067803871</v>
      </c>
      <c r="AB77" s="57">
        <v>1984278043062</v>
      </c>
      <c r="AC77" s="13">
        <v>160452647300</v>
      </c>
      <c r="AD77" s="13">
        <v>75755206440</v>
      </c>
      <c r="AE77" s="13">
        <v>111083956363</v>
      </c>
      <c r="AF77" s="13">
        <v>45193113178</v>
      </c>
      <c r="AG77" s="13">
        <v>223318461486</v>
      </c>
      <c r="AH77" s="13">
        <v>11383318517</v>
      </c>
      <c r="AI77" s="13">
        <v>588349804359</v>
      </c>
      <c r="AJ77" s="13">
        <v>149069328783</v>
      </c>
      <c r="AK77" s="38">
        <v>-0.53900000000000003</v>
      </c>
      <c r="AL77" s="13">
        <v>5143876819</v>
      </c>
      <c r="AM77" s="13">
        <v>148276767801</v>
      </c>
      <c r="AN77" s="27">
        <v>2628</v>
      </c>
      <c r="AO77" s="13">
        <v>1980</v>
      </c>
      <c r="AP77" s="58">
        <v>441247384462</v>
      </c>
      <c r="AQ77" s="18">
        <v>20</v>
      </c>
    </row>
    <row r="78" spans="1:43" ht="14.25" customHeight="1" x14ac:dyDescent="0.35">
      <c r="A78" s="8" t="s">
        <v>101</v>
      </c>
      <c r="B78" s="8" t="s">
        <v>102</v>
      </c>
      <c r="C78" s="8" t="s">
        <v>45</v>
      </c>
      <c r="D78" s="9" t="s">
        <v>69</v>
      </c>
      <c r="E78" s="8">
        <v>2021</v>
      </c>
      <c r="F78" s="38">
        <v>1.24E-2</v>
      </c>
      <c r="G78" s="38">
        <v>0.4803</v>
      </c>
      <c r="H78" s="38">
        <v>0.88729999999999998</v>
      </c>
      <c r="I78" s="38">
        <v>2.4500000000000001E-2</v>
      </c>
      <c r="J78" s="13">
        <v>33533591</v>
      </c>
      <c r="K78" s="28">
        <v>488318545497</v>
      </c>
      <c r="L78" s="28">
        <v>938589049757</v>
      </c>
      <c r="M78" s="18">
        <v>0</v>
      </c>
      <c r="N78" s="28">
        <v>-56953291391</v>
      </c>
      <c r="O78" s="13">
        <v>12310250000</v>
      </c>
      <c r="P78" s="57">
        <v>229937382018</v>
      </c>
      <c r="Q78" s="28">
        <v>58543830838</v>
      </c>
      <c r="R78" s="57">
        <v>17175685588</v>
      </c>
      <c r="S78" s="56">
        <v>0</v>
      </c>
      <c r="T78" s="18" t="s">
        <v>47</v>
      </c>
      <c r="U78" s="13">
        <v>85591335803</v>
      </c>
      <c r="V78" s="13">
        <v>438437330106</v>
      </c>
      <c r="W78" s="18" t="s">
        <v>47</v>
      </c>
      <c r="X78" s="18">
        <v>0</v>
      </c>
      <c r="Y78" s="18">
        <v>1</v>
      </c>
      <c r="Z78" s="28">
        <v>42232946730</v>
      </c>
      <c r="AA78" s="28">
        <v>820290134691</v>
      </c>
      <c r="AB78" s="57">
        <v>2068855429064</v>
      </c>
      <c r="AC78" s="28">
        <v>118298915066</v>
      </c>
      <c r="AD78" s="13">
        <v>188124784602</v>
      </c>
      <c r="AE78" s="13">
        <v>373150000</v>
      </c>
      <c r="AF78" s="13">
        <v>8134800374</v>
      </c>
      <c r="AG78" s="28">
        <v>335746789099</v>
      </c>
      <c r="AH78" s="28">
        <v>12741781186</v>
      </c>
      <c r="AI78" s="28">
        <v>604217673475</v>
      </c>
      <c r="AJ78" s="28">
        <v>105557133880</v>
      </c>
      <c r="AK78" s="21">
        <v>-0.33179999999999998</v>
      </c>
      <c r="AL78" s="28">
        <v>5733315271</v>
      </c>
      <c r="AM78" s="13">
        <v>83833977500</v>
      </c>
      <c r="AN78" s="13">
        <v>1584</v>
      </c>
      <c r="AO78" s="13">
        <v>1822</v>
      </c>
      <c r="AP78" s="58">
        <v>319716484032</v>
      </c>
      <c r="AQ78" s="18">
        <v>21</v>
      </c>
    </row>
    <row r="79" spans="1:43" ht="14.25" customHeight="1" x14ac:dyDescent="0.35">
      <c r="A79" s="8" t="s">
        <v>101</v>
      </c>
      <c r="B79" s="8" t="s">
        <v>102</v>
      </c>
      <c r="C79" s="8" t="s">
        <v>45</v>
      </c>
      <c r="D79" s="9" t="s">
        <v>69</v>
      </c>
      <c r="E79" s="8">
        <v>2022</v>
      </c>
      <c r="F79" s="38">
        <v>1.26E-2</v>
      </c>
      <c r="G79" s="38">
        <v>0.4803</v>
      </c>
      <c r="H79" s="38">
        <v>0.88739999999999997</v>
      </c>
      <c r="I79" s="38">
        <v>2.5000000000000001E-2</v>
      </c>
      <c r="J79" s="13">
        <v>33533591</v>
      </c>
      <c r="K79" s="28">
        <v>995163223157</v>
      </c>
      <c r="L79" s="28">
        <v>1076542733192</v>
      </c>
      <c r="M79" s="18">
        <v>0</v>
      </c>
      <c r="N79" s="28">
        <v>-112334616961</v>
      </c>
      <c r="O79" s="13">
        <v>12310250000</v>
      </c>
      <c r="P79" s="13">
        <v>354690440771</v>
      </c>
      <c r="Q79" s="28">
        <v>173763438052</v>
      </c>
      <c r="R79" s="13">
        <v>46783806164</v>
      </c>
      <c r="S79" s="56">
        <v>0</v>
      </c>
      <c r="T79" s="18" t="s">
        <v>47</v>
      </c>
      <c r="U79" s="13">
        <v>229874237305</v>
      </c>
      <c r="V79" s="13">
        <v>836631615252</v>
      </c>
      <c r="W79" s="18" t="s">
        <v>47</v>
      </c>
      <c r="X79" s="18">
        <v>0</v>
      </c>
      <c r="Y79" s="18">
        <v>1</v>
      </c>
      <c r="Z79" s="28">
        <v>135865721042</v>
      </c>
      <c r="AA79" s="28">
        <v>861907588281</v>
      </c>
      <c r="AB79" s="57">
        <v>1894282507828</v>
      </c>
      <c r="AC79" s="28">
        <v>214635144911</v>
      </c>
      <c r="AD79" s="13">
        <v>189256721339</v>
      </c>
      <c r="AE79" s="13">
        <v>11677588407</v>
      </c>
      <c r="AF79" s="13">
        <v>311470052955</v>
      </c>
      <c r="AG79" s="28">
        <v>126945183331</v>
      </c>
      <c r="AH79" s="28">
        <v>17427984598</v>
      </c>
      <c r="AI79" s="28">
        <v>838027266659</v>
      </c>
      <c r="AJ79" s="28">
        <v>197207160313</v>
      </c>
      <c r="AK79" s="21">
        <v>1.0379</v>
      </c>
      <c r="AL79" s="28">
        <v>8270211662</v>
      </c>
      <c r="AM79" s="13">
        <v>83833977500</v>
      </c>
      <c r="AN79" s="13">
        <v>3971</v>
      </c>
      <c r="AO79" s="13">
        <v>1901</v>
      </c>
      <c r="AP79" s="58">
        <v>219773281485</v>
      </c>
      <c r="AQ79" s="18">
        <v>22</v>
      </c>
    </row>
    <row r="80" spans="1:43" ht="14.25" customHeight="1" x14ac:dyDescent="0.35">
      <c r="A80" s="8" t="s">
        <v>101</v>
      </c>
      <c r="B80" s="8" t="s">
        <v>102</v>
      </c>
      <c r="C80" s="8" t="s">
        <v>45</v>
      </c>
      <c r="D80" s="9" t="s">
        <v>69</v>
      </c>
      <c r="E80" s="8">
        <v>2023</v>
      </c>
      <c r="F80" s="38">
        <v>4.0499999999999998E-3</v>
      </c>
      <c r="G80" s="38">
        <v>0.4803</v>
      </c>
      <c r="H80" s="38">
        <v>0.85470000000000002</v>
      </c>
      <c r="I80" s="38">
        <v>0.17560000000000001</v>
      </c>
      <c r="J80" s="13">
        <v>33533591</v>
      </c>
      <c r="K80" s="28">
        <v>1455650680216</v>
      </c>
      <c r="L80" s="28">
        <v>1289193128768</v>
      </c>
      <c r="M80" s="18">
        <v>0</v>
      </c>
      <c r="N80" s="28">
        <v>-201431609371</v>
      </c>
      <c r="O80" s="13">
        <v>12310250000</v>
      </c>
      <c r="P80" s="57">
        <v>534088356989</v>
      </c>
      <c r="Q80" s="28">
        <v>294202480384</v>
      </c>
      <c r="R80" s="13">
        <v>57000572491</v>
      </c>
      <c r="S80" s="56">
        <v>0</v>
      </c>
      <c r="T80" s="18" t="s">
        <v>47</v>
      </c>
      <c r="U80" s="13">
        <v>356268483748</v>
      </c>
      <c r="V80" s="13">
        <v>1201744733954</v>
      </c>
      <c r="W80" s="18" t="s">
        <v>47</v>
      </c>
      <c r="X80" s="18">
        <v>1</v>
      </c>
      <c r="Y80" s="18">
        <v>1</v>
      </c>
      <c r="Z80" s="13">
        <v>241138310966</v>
      </c>
      <c r="AA80" s="28">
        <v>1012320221967</v>
      </c>
      <c r="AB80" s="13">
        <v>2441245424800</v>
      </c>
      <c r="AC80" s="28">
        <v>276872906801</v>
      </c>
      <c r="AD80" s="13">
        <v>354099673936</v>
      </c>
      <c r="AE80" s="13">
        <v>73901370515</v>
      </c>
      <c r="AF80" s="13">
        <v>74544934640</v>
      </c>
      <c r="AG80" s="28">
        <v>322312594954</v>
      </c>
      <c r="AH80" s="28">
        <v>18895880323</v>
      </c>
      <c r="AI80" s="28">
        <v>1057520529139</v>
      </c>
      <c r="AJ80" s="28">
        <v>257977026478</v>
      </c>
      <c r="AK80" s="21">
        <v>0.4627</v>
      </c>
      <c r="AL80" s="28">
        <v>10484335395</v>
      </c>
      <c r="AM80" s="13">
        <v>83833977500</v>
      </c>
      <c r="AN80" s="13">
        <v>6377</v>
      </c>
      <c r="AO80" s="13">
        <v>2035</v>
      </c>
      <c r="AP80" s="58">
        <v>198179497783</v>
      </c>
      <c r="AQ80" s="18">
        <v>23</v>
      </c>
    </row>
    <row r="81" spans="1:43" ht="14.25" customHeight="1" x14ac:dyDescent="0.35">
      <c r="A81" s="8" t="s">
        <v>101</v>
      </c>
      <c r="B81" s="8" t="s">
        <v>102</v>
      </c>
      <c r="C81" s="8" t="s">
        <v>45</v>
      </c>
      <c r="D81" s="9" t="s">
        <v>69</v>
      </c>
      <c r="E81" s="8">
        <v>2024</v>
      </c>
      <c r="F81" s="59">
        <v>3.5999999999999999E-3</v>
      </c>
      <c r="G81" s="38">
        <v>0.4803</v>
      </c>
      <c r="H81" s="38">
        <v>0.82099999999999995</v>
      </c>
      <c r="I81" s="38">
        <v>0.24959999999999999</v>
      </c>
      <c r="J81" s="13">
        <v>33533591</v>
      </c>
      <c r="K81" s="28">
        <v>1518231489552</v>
      </c>
      <c r="L81" s="28">
        <v>1489572503003</v>
      </c>
      <c r="M81" s="18">
        <v>0</v>
      </c>
      <c r="N81" s="28">
        <v>-169724511022</v>
      </c>
      <c r="O81" s="13">
        <v>12310250000</v>
      </c>
      <c r="P81" s="57">
        <v>515939681192</v>
      </c>
      <c r="Q81" s="28">
        <v>368702575629</v>
      </c>
      <c r="R81" s="13">
        <v>50760787232</v>
      </c>
      <c r="S81" s="56">
        <v>0</v>
      </c>
      <c r="T81" s="18" t="s">
        <v>47</v>
      </c>
      <c r="U81" s="13">
        <v>383259846998</v>
      </c>
      <c r="V81" s="13">
        <v>1191569190916</v>
      </c>
      <c r="W81" s="18" t="s">
        <v>47</v>
      </c>
      <c r="X81" s="18">
        <v>1</v>
      </c>
      <c r="Y81" s="18">
        <v>1</v>
      </c>
      <c r="Z81" s="28">
        <v>295962026141</v>
      </c>
      <c r="AA81" s="28">
        <v>1196355780091</v>
      </c>
      <c r="AB81" s="60">
        <v>2707910630104</v>
      </c>
      <c r="AC81" s="28">
        <v>293216722912</v>
      </c>
      <c r="AD81" s="13">
        <v>446769429136</v>
      </c>
      <c r="AE81" s="13">
        <v>59986234034</v>
      </c>
      <c r="AF81" s="13">
        <v>257939323553</v>
      </c>
      <c r="AG81" s="28">
        <v>432488271127</v>
      </c>
      <c r="AH81" s="28">
        <v>24187624870</v>
      </c>
      <c r="AI81" s="28">
        <v>1246128664363</v>
      </c>
      <c r="AJ81" s="28">
        <v>269029098042</v>
      </c>
      <c r="AK81" s="21">
        <v>4.2999999999999997E-2</v>
      </c>
      <c r="AL81" s="28">
        <v>10816280873</v>
      </c>
      <c r="AM81" s="13">
        <v>83833977500</v>
      </c>
      <c r="AN81" s="13">
        <v>7271</v>
      </c>
      <c r="AO81" s="13">
        <v>2029</v>
      </c>
      <c r="AP81" s="58">
        <v>183403860442</v>
      </c>
      <c r="AQ81" s="18">
        <v>24</v>
      </c>
    </row>
    <row r="82" spans="1:43" ht="14.25" customHeight="1" x14ac:dyDescent="0.35">
      <c r="A82" s="8" t="s">
        <v>103</v>
      </c>
      <c r="B82" s="8" t="s">
        <v>104</v>
      </c>
      <c r="C82" s="8" t="s">
        <v>45</v>
      </c>
      <c r="D82" s="9" t="s">
        <v>105</v>
      </c>
      <c r="E82" s="8">
        <v>2020</v>
      </c>
      <c r="F82" s="38">
        <v>0.3659</v>
      </c>
      <c r="G82" s="44">
        <v>0</v>
      </c>
      <c r="H82" s="61">
        <v>0.33</v>
      </c>
      <c r="I82" s="61">
        <v>9.0999999999999998E-2</v>
      </c>
      <c r="J82" s="57">
        <v>68185294</v>
      </c>
      <c r="K82" s="28">
        <v>1765666338639</v>
      </c>
      <c r="L82" s="28">
        <v>1703389106213</v>
      </c>
      <c r="M82" s="28">
        <v>-23679420379</v>
      </c>
      <c r="N82" s="28">
        <v>-57222933716</v>
      </c>
      <c r="O82" s="13">
        <v>210979696</v>
      </c>
      <c r="P82" s="13">
        <v>414874786042</v>
      </c>
      <c r="Q82" s="28">
        <v>164036248395</v>
      </c>
      <c r="R82" s="13">
        <v>1051554154248</v>
      </c>
      <c r="S82" s="57">
        <v>1396160507271</v>
      </c>
      <c r="T82" s="18" t="s">
        <v>47</v>
      </c>
      <c r="U82" s="13">
        <v>233558115107</v>
      </c>
      <c r="V82" s="13">
        <v>1591297201305</v>
      </c>
      <c r="W82" s="18" t="s">
        <v>47</v>
      </c>
      <c r="X82" s="18">
        <v>1</v>
      </c>
      <c r="Y82" s="18">
        <v>1</v>
      </c>
      <c r="Z82" s="28">
        <v>144360663988</v>
      </c>
      <c r="AA82" s="28">
        <v>1082791720408</v>
      </c>
      <c r="AB82" s="13">
        <v>1363705880000</v>
      </c>
      <c r="AC82" s="28">
        <v>620597385805</v>
      </c>
      <c r="AD82" s="13">
        <v>446192332470</v>
      </c>
      <c r="AE82" s="13">
        <v>0</v>
      </c>
      <c r="AF82" s="13">
        <v>41142588699</v>
      </c>
      <c r="AG82" s="28">
        <v>95106312655</v>
      </c>
      <c r="AH82" s="28">
        <v>52014998809</v>
      </c>
      <c r="AI82" s="28">
        <v>633371718157</v>
      </c>
      <c r="AJ82" s="28">
        <v>568582386996</v>
      </c>
      <c r="AK82" s="21">
        <v>-0.20810000000000001</v>
      </c>
      <c r="AL82" s="28">
        <v>400542739062</v>
      </c>
      <c r="AM82" s="13">
        <v>102209474025</v>
      </c>
      <c r="AN82" s="13">
        <v>2091</v>
      </c>
      <c r="AO82" s="13">
        <v>1031</v>
      </c>
      <c r="AP82" s="28">
        <v>913710763342</v>
      </c>
      <c r="AQ82" s="18">
        <v>20</v>
      </c>
    </row>
    <row r="83" spans="1:43" ht="14.25" customHeight="1" x14ac:dyDescent="0.35">
      <c r="A83" s="8" t="s">
        <v>103</v>
      </c>
      <c r="B83" s="8" t="s">
        <v>104</v>
      </c>
      <c r="C83" s="8" t="s">
        <v>45</v>
      </c>
      <c r="D83" s="9" t="s">
        <v>105</v>
      </c>
      <c r="E83" s="8">
        <v>2021</v>
      </c>
      <c r="F83" s="38">
        <v>0.36659999999999998</v>
      </c>
      <c r="G83" s="44">
        <v>0</v>
      </c>
      <c r="H83" s="38">
        <v>0.1205</v>
      </c>
      <c r="I83" s="61">
        <v>0.1323</v>
      </c>
      <c r="J83" s="57">
        <v>68185294</v>
      </c>
      <c r="K83" s="28">
        <v>2042388712623</v>
      </c>
      <c r="L83" s="28">
        <v>1971139649226</v>
      </c>
      <c r="M83" s="28">
        <v>-27145444741</v>
      </c>
      <c r="N83" s="28">
        <v>-71510694737</v>
      </c>
      <c r="O83" s="13">
        <v>100903332</v>
      </c>
      <c r="P83" s="13">
        <v>434584290547</v>
      </c>
      <c r="Q83" s="28">
        <v>285178159681</v>
      </c>
      <c r="R83" s="13">
        <v>1187454840331</v>
      </c>
      <c r="S83" s="57">
        <v>1733759333501</v>
      </c>
      <c r="T83" s="18" t="s">
        <v>47</v>
      </c>
      <c r="U83" s="13">
        <v>272537233024</v>
      </c>
      <c r="V83" s="13">
        <v>1766562050279</v>
      </c>
      <c r="W83" s="18" t="s">
        <v>47</v>
      </c>
      <c r="X83" s="18">
        <v>1</v>
      </c>
      <c r="Y83" s="18">
        <v>1</v>
      </c>
      <c r="Z83" s="28">
        <v>278479651838</v>
      </c>
      <c r="AA83" s="28">
        <v>1258993431246</v>
      </c>
      <c r="AB83" s="13">
        <v>4003000000000</v>
      </c>
      <c r="AC83" s="28">
        <v>712146217980</v>
      </c>
      <c r="AD83" s="13">
        <v>290141566004</v>
      </c>
      <c r="AE83" s="13">
        <v>3400740060</v>
      </c>
      <c r="AF83" s="13">
        <v>30445502413</v>
      </c>
      <c r="AG83" s="28">
        <v>366205978093</v>
      </c>
      <c r="AH83" s="28">
        <v>280104373</v>
      </c>
      <c r="AI83" s="28">
        <v>986230344776</v>
      </c>
      <c r="AJ83" s="28">
        <v>711866113607</v>
      </c>
      <c r="AK83" s="21">
        <v>0.15609999999999999</v>
      </c>
      <c r="AL83" s="28">
        <v>471504991659</v>
      </c>
      <c r="AM83" s="13">
        <v>102197517784</v>
      </c>
      <c r="AN83" s="13">
        <v>4084</v>
      </c>
      <c r="AO83" s="18">
        <v>927</v>
      </c>
      <c r="AP83" s="28">
        <v>806644500122</v>
      </c>
      <c r="AQ83" s="18">
        <v>21</v>
      </c>
    </row>
    <row r="84" spans="1:43" ht="14.25" customHeight="1" x14ac:dyDescent="0.35">
      <c r="A84" s="8" t="s">
        <v>103</v>
      </c>
      <c r="B84" s="8" t="s">
        <v>104</v>
      </c>
      <c r="C84" s="8" t="s">
        <v>45</v>
      </c>
      <c r="D84" s="9" t="s">
        <v>105</v>
      </c>
      <c r="E84" s="8">
        <v>2022</v>
      </c>
      <c r="F84" s="38">
        <v>0.3538</v>
      </c>
      <c r="G84" s="44">
        <v>0</v>
      </c>
      <c r="H84" s="38">
        <v>0.35220000000000001</v>
      </c>
      <c r="I84" s="38">
        <v>0.1245</v>
      </c>
      <c r="J84" s="57">
        <v>81822175</v>
      </c>
      <c r="K84" s="28">
        <v>2114531690812</v>
      </c>
      <c r="L84" s="28">
        <v>2125032943857</v>
      </c>
      <c r="M84" s="28">
        <v>-19448338303</v>
      </c>
      <c r="N84" s="28">
        <v>-64115797999</v>
      </c>
      <c r="O84" s="18">
        <v>0</v>
      </c>
      <c r="P84" s="13">
        <v>407339339374</v>
      </c>
      <c r="Q84" s="28">
        <v>270705489317</v>
      </c>
      <c r="R84" s="13">
        <v>1277763972568</v>
      </c>
      <c r="S84" s="57">
        <v>1735869498276</v>
      </c>
      <c r="T84" s="18" t="s">
        <v>47</v>
      </c>
      <c r="U84" s="13">
        <v>247909931827</v>
      </c>
      <c r="V84" s="13">
        <v>1824802101981</v>
      </c>
      <c r="W84" s="18" t="s">
        <v>47</v>
      </c>
      <c r="X84" s="18">
        <v>1</v>
      </c>
      <c r="Y84" s="18">
        <v>1</v>
      </c>
      <c r="Z84" s="28">
        <v>242274378237</v>
      </c>
      <c r="AA84" s="28">
        <v>1541090058483</v>
      </c>
      <c r="AB84" s="13">
        <v>2250000000000</v>
      </c>
      <c r="AC84" s="28">
        <v>583942885374</v>
      </c>
      <c r="AD84" s="13">
        <v>211844963939</v>
      </c>
      <c r="AE84" s="13">
        <v>188651811052</v>
      </c>
      <c r="AF84" s="13">
        <v>351536953919</v>
      </c>
      <c r="AG84" s="28">
        <v>235284187347</v>
      </c>
      <c r="AH84" s="28">
        <v>270998167</v>
      </c>
      <c r="AI84" s="28">
        <v>1199951103248</v>
      </c>
      <c r="AJ84" s="28">
        <v>583671887207</v>
      </c>
      <c r="AK84" s="21">
        <v>3.5900000000000001E-2</v>
      </c>
      <c r="AL84" s="28">
        <v>466136524256</v>
      </c>
      <c r="AM84" s="13">
        <v>102213100650</v>
      </c>
      <c r="AN84" s="13">
        <v>3341</v>
      </c>
      <c r="AO84" s="18">
        <v>882</v>
      </c>
      <c r="AP84" s="28">
        <v>730566913801</v>
      </c>
      <c r="AQ84" s="18">
        <v>22</v>
      </c>
    </row>
    <row r="85" spans="1:43" ht="14.25" customHeight="1" x14ac:dyDescent="0.35">
      <c r="A85" s="8" t="s">
        <v>103</v>
      </c>
      <c r="B85" s="8" t="s">
        <v>104</v>
      </c>
      <c r="C85" s="8" t="s">
        <v>45</v>
      </c>
      <c r="D85" s="9" t="s">
        <v>105</v>
      </c>
      <c r="E85" s="8">
        <v>2023</v>
      </c>
      <c r="F85" s="38">
        <v>0.35599999999999998</v>
      </c>
      <c r="G85" s="44">
        <v>0</v>
      </c>
      <c r="H85" s="38">
        <v>0.39700000000000002</v>
      </c>
      <c r="I85" s="38">
        <v>0.17219999999999999</v>
      </c>
      <c r="J85" s="13">
        <v>94095274</v>
      </c>
      <c r="K85" s="28">
        <v>1425063024378</v>
      </c>
      <c r="L85" s="28">
        <v>2973859144107</v>
      </c>
      <c r="M85" s="28">
        <v>-19663775726</v>
      </c>
      <c r="N85" s="28">
        <v>-60439695454</v>
      </c>
      <c r="O85" s="18">
        <v>0</v>
      </c>
      <c r="P85" s="13">
        <v>343891243926</v>
      </c>
      <c r="Q85" s="28">
        <v>88982257812</v>
      </c>
      <c r="R85" s="13">
        <v>855629530014</v>
      </c>
      <c r="S85" s="57">
        <v>1381632384055</v>
      </c>
      <c r="T85" s="18" t="s">
        <v>47</v>
      </c>
      <c r="U85" s="13">
        <v>214842272280</v>
      </c>
      <c r="V85" s="13">
        <v>1313084699567</v>
      </c>
      <c r="W85" s="18" t="s">
        <v>47</v>
      </c>
      <c r="X85" s="18">
        <v>1</v>
      </c>
      <c r="Y85" s="18">
        <v>1</v>
      </c>
      <c r="Z85" s="28">
        <v>87799332687</v>
      </c>
      <c r="AA85" s="28">
        <v>1628889391170</v>
      </c>
      <c r="AB85" s="13">
        <v>2442000000000</v>
      </c>
      <c r="AC85" s="28">
        <v>1344969752937</v>
      </c>
      <c r="AD85" s="13">
        <v>13687340730</v>
      </c>
      <c r="AE85" s="13">
        <v>949806432497</v>
      </c>
      <c r="AF85" s="13">
        <v>812908858305</v>
      </c>
      <c r="AG85" s="28">
        <v>109476256782</v>
      </c>
      <c r="AH85" s="28">
        <v>409394566166</v>
      </c>
      <c r="AI85" s="28">
        <v>1395936217102</v>
      </c>
      <c r="AJ85" s="28">
        <v>935575186771</v>
      </c>
      <c r="AK85" s="21">
        <v>-0.32650000000000001</v>
      </c>
      <c r="AL85" s="28">
        <v>615023248456</v>
      </c>
      <c r="AM85" s="18">
        <v>0</v>
      </c>
      <c r="AN85" s="18">
        <v>933</v>
      </c>
      <c r="AO85" s="18">
        <v>891</v>
      </c>
      <c r="AP85" s="28">
        <v>642368814999</v>
      </c>
      <c r="AQ85" s="18">
        <v>23</v>
      </c>
    </row>
    <row r="86" spans="1:43" ht="14.25" customHeight="1" x14ac:dyDescent="0.35">
      <c r="A86" s="8" t="s">
        <v>103</v>
      </c>
      <c r="B86" s="8" t="s">
        <v>104</v>
      </c>
      <c r="C86" s="8" t="s">
        <v>45</v>
      </c>
      <c r="D86" s="9" t="s">
        <v>105</v>
      </c>
      <c r="E86" s="8">
        <v>2024</v>
      </c>
      <c r="F86" s="38">
        <v>0.36359999999999998</v>
      </c>
      <c r="G86" s="44">
        <v>0</v>
      </c>
      <c r="H86" s="26">
        <v>0.36399999999999999</v>
      </c>
      <c r="I86" s="38">
        <v>0.16700000000000001</v>
      </c>
      <c r="J86" s="13">
        <v>96636924</v>
      </c>
      <c r="K86" s="28">
        <v>1210252569729</v>
      </c>
      <c r="L86" s="28">
        <v>3811243831937</v>
      </c>
      <c r="M86" s="28">
        <v>-12473186828</v>
      </c>
      <c r="N86" s="28">
        <v>-52322172851</v>
      </c>
      <c r="O86" s="18">
        <v>0</v>
      </c>
      <c r="P86" s="13">
        <v>286152248165</v>
      </c>
      <c r="Q86" s="28">
        <v>25538746029</v>
      </c>
      <c r="R86" s="13">
        <v>733217021641</v>
      </c>
      <c r="S86" s="57">
        <v>1048388361268</v>
      </c>
      <c r="T86" s="18" t="s">
        <v>47</v>
      </c>
      <c r="U86" s="13">
        <v>164236319565</v>
      </c>
      <c r="V86" s="13">
        <v>1111821041593</v>
      </c>
      <c r="W86" s="18" t="s">
        <v>47</v>
      </c>
      <c r="X86" s="18">
        <v>1</v>
      </c>
      <c r="Y86" s="18">
        <v>1</v>
      </c>
      <c r="Z86" s="28">
        <v>12402343658</v>
      </c>
      <c r="AA86" s="28">
        <v>1707355003808</v>
      </c>
      <c r="AB86" s="13">
        <v>2570540000000</v>
      </c>
      <c r="AC86" s="28">
        <v>2103888828129</v>
      </c>
      <c r="AD86" s="13">
        <v>287353412010</v>
      </c>
      <c r="AE86" s="13">
        <v>935121066461</v>
      </c>
      <c r="AF86" s="13">
        <v>880832794718</v>
      </c>
      <c r="AG86" s="28">
        <v>105602398852</v>
      </c>
      <c r="AH86" s="28">
        <v>792723292095</v>
      </c>
      <c r="AI86" s="28">
        <v>997061057465</v>
      </c>
      <c r="AJ86" s="28">
        <v>1311165536034</v>
      </c>
      <c r="AK86" s="21">
        <v>-0.15090000000000001</v>
      </c>
      <c r="AL86" s="28">
        <v>616099132887</v>
      </c>
      <c r="AM86" s="18">
        <v>0</v>
      </c>
      <c r="AN86" s="18">
        <v>130</v>
      </c>
      <c r="AO86" s="18">
        <v>998</v>
      </c>
      <c r="AP86" s="28">
        <v>560684345537</v>
      </c>
      <c r="AQ86" s="18">
        <v>24</v>
      </c>
    </row>
    <row r="87" spans="1:43" ht="14.25" customHeight="1" x14ac:dyDescent="0.35">
      <c r="A87" s="8" t="s">
        <v>106</v>
      </c>
      <c r="B87" s="8" t="s">
        <v>107</v>
      </c>
      <c r="C87" s="8" t="s">
        <v>45</v>
      </c>
      <c r="D87" s="9" t="s">
        <v>105</v>
      </c>
      <c r="E87" s="8">
        <v>2020</v>
      </c>
      <c r="F87" s="38">
        <v>2.9999999999999997E-4</v>
      </c>
      <c r="G87" s="44">
        <v>0</v>
      </c>
      <c r="H87" s="38">
        <v>0.43259999999999998</v>
      </c>
      <c r="I87" s="38">
        <v>0.43259999999999998</v>
      </c>
      <c r="J87" s="13">
        <v>61967899</v>
      </c>
      <c r="K87" s="28">
        <v>3469716808748</v>
      </c>
      <c r="L87" s="28">
        <v>2976422649274</v>
      </c>
      <c r="M87" s="28">
        <v>-143976177586</v>
      </c>
      <c r="N87" s="28">
        <v>-141947995876</v>
      </c>
      <c r="O87" s="13">
        <v>183299172911</v>
      </c>
      <c r="P87" s="13">
        <v>795882251346</v>
      </c>
      <c r="Q87" s="28">
        <v>340168727345</v>
      </c>
      <c r="R87" s="13">
        <v>1399012682867</v>
      </c>
      <c r="S87" s="57">
        <v>2963745568990</v>
      </c>
      <c r="T87" s="13">
        <v>254146793569</v>
      </c>
      <c r="U87" s="13">
        <v>570224817919</v>
      </c>
      <c r="V87" s="13">
        <v>3212050785584</v>
      </c>
      <c r="W87" s="18" t="s">
        <v>47</v>
      </c>
      <c r="X87" s="18">
        <v>1</v>
      </c>
      <c r="Y87" s="18">
        <v>1</v>
      </c>
      <c r="Z87" s="28">
        <v>276227899280</v>
      </c>
      <c r="AA87" s="28">
        <v>1638734940727</v>
      </c>
      <c r="AB87" s="60">
        <v>1688776096754</v>
      </c>
      <c r="AC87" s="28">
        <v>1337687708547</v>
      </c>
      <c r="AD87" s="13">
        <v>386658152028</v>
      </c>
      <c r="AE87" s="13">
        <v>11750845077</v>
      </c>
      <c r="AF87" s="13">
        <v>33781747022</v>
      </c>
      <c r="AG87" s="28">
        <v>287922412252</v>
      </c>
      <c r="AH87" s="28">
        <v>80754923663</v>
      </c>
      <c r="AI87" s="28">
        <v>1783900889021</v>
      </c>
      <c r="AJ87" s="28">
        <v>1256932784884</v>
      </c>
      <c r="AK87" s="21">
        <v>-4.7899999999999998E-2</v>
      </c>
      <c r="AL87" s="28">
        <v>1006919927775</v>
      </c>
      <c r="AM87" s="13">
        <v>29388191425</v>
      </c>
      <c r="AN87" s="13">
        <v>3775</v>
      </c>
      <c r="AO87" s="13">
        <v>7182</v>
      </c>
      <c r="AP87" s="28">
        <v>660766252460</v>
      </c>
      <c r="AQ87" s="18">
        <v>53</v>
      </c>
    </row>
    <row r="88" spans="1:43" ht="14.25" customHeight="1" x14ac:dyDescent="0.35">
      <c r="A88" s="8" t="s">
        <v>106</v>
      </c>
      <c r="B88" s="8" t="s">
        <v>107</v>
      </c>
      <c r="C88" s="8" t="s">
        <v>45</v>
      </c>
      <c r="D88" s="9" t="s">
        <v>105</v>
      </c>
      <c r="E88" s="8">
        <v>2021</v>
      </c>
      <c r="F88" s="38">
        <v>0.16370000000000001</v>
      </c>
      <c r="G88" s="44">
        <v>0</v>
      </c>
      <c r="H88" s="38">
        <v>0.45989999999999998</v>
      </c>
      <c r="I88" s="38">
        <v>0.46179999999999999</v>
      </c>
      <c r="J88" s="13">
        <v>71260358</v>
      </c>
      <c r="K88" s="28">
        <v>3535415705914</v>
      </c>
      <c r="L88" s="28">
        <v>3606390631343</v>
      </c>
      <c r="M88" s="28">
        <v>-184396737569</v>
      </c>
      <c r="N88" s="28">
        <v>-169902306253</v>
      </c>
      <c r="O88" s="13">
        <v>181428774005</v>
      </c>
      <c r="P88" s="13">
        <v>886656031718</v>
      </c>
      <c r="Q88" s="28">
        <v>175691627321</v>
      </c>
      <c r="R88" s="13">
        <v>1675306883116</v>
      </c>
      <c r="S88" s="57">
        <v>3478725647484</v>
      </c>
      <c r="T88" s="13">
        <v>456092463786</v>
      </c>
      <c r="U88" s="13">
        <v>618427124353</v>
      </c>
      <c r="V88" s="13">
        <v>3592166037971</v>
      </c>
      <c r="W88" s="18" t="s">
        <v>47</v>
      </c>
      <c r="X88" s="18">
        <v>1</v>
      </c>
      <c r="Y88" s="18">
        <v>1</v>
      </c>
      <c r="Z88" s="28">
        <v>143658558090</v>
      </c>
      <c r="AA88" s="28">
        <v>1708534694671</v>
      </c>
      <c r="AB88" s="60">
        <v>2823445728982</v>
      </c>
      <c r="AC88" s="28">
        <v>1897855936672</v>
      </c>
      <c r="AD88" s="13">
        <v>89271641618</v>
      </c>
      <c r="AE88" s="13">
        <v>116913047144</v>
      </c>
      <c r="AF88" s="13">
        <v>116764654404</v>
      </c>
      <c r="AG88" s="28">
        <v>270468956398</v>
      </c>
      <c r="AH88" s="28">
        <v>140437877413</v>
      </c>
      <c r="AI88" s="28">
        <v>2351259832320</v>
      </c>
      <c r="AJ88" s="28">
        <v>1757418059259</v>
      </c>
      <c r="AK88" s="21">
        <v>1.9300000000000001E-2</v>
      </c>
      <c r="AL88" s="28">
        <v>1463731770019</v>
      </c>
      <c r="AM88" s="13">
        <v>31320754750</v>
      </c>
      <c r="AN88" s="13">
        <v>1700</v>
      </c>
      <c r="AO88" s="13">
        <v>6981</v>
      </c>
      <c r="AP88" s="28">
        <v>644912853756</v>
      </c>
      <c r="AQ88" s="18">
        <v>54</v>
      </c>
    </row>
    <row r="89" spans="1:43" ht="14.25" customHeight="1" x14ac:dyDescent="0.35">
      <c r="A89" s="8" t="s">
        <v>106</v>
      </c>
      <c r="B89" s="8" t="s">
        <v>107</v>
      </c>
      <c r="C89" s="8" t="s">
        <v>45</v>
      </c>
      <c r="D89" s="9" t="s">
        <v>105</v>
      </c>
      <c r="E89" s="8">
        <v>2022</v>
      </c>
      <c r="F89" s="38">
        <v>0.1694</v>
      </c>
      <c r="G89" s="44">
        <v>0</v>
      </c>
      <c r="H89" s="38">
        <v>0.4703</v>
      </c>
      <c r="I89" s="38">
        <v>0.47199999999999998</v>
      </c>
      <c r="J89" s="13">
        <v>81946677</v>
      </c>
      <c r="K89" s="28">
        <v>4337389009868</v>
      </c>
      <c r="L89" s="28">
        <v>3477066569867</v>
      </c>
      <c r="M89" s="28">
        <v>-177757668537</v>
      </c>
      <c r="N89" s="28">
        <v>-169804388906</v>
      </c>
      <c r="O89" s="13">
        <v>179420111275</v>
      </c>
      <c r="P89" s="13">
        <v>826647017932</v>
      </c>
      <c r="Q89" s="28">
        <v>346321914677</v>
      </c>
      <c r="R89" s="13">
        <v>1939982171452</v>
      </c>
      <c r="S89" s="57">
        <v>3420462399027</v>
      </c>
      <c r="T89" s="13">
        <v>321068888731</v>
      </c>
      <c r="U89" s="13">
        <v>542008992033</v>
      </c>
      <c r="V89" s="13">
        <v>3878692650113</v>
      </c>
      <c r="W89" s="18" t="s">
        <v>47</v>
      </c>
      <c r="X89" s="35">
        <v>1</v>
      </c>
      <c r="Y89" s="35">
        <v>1</v>
      </c>
      <c r="Z89" s="28">
        <v>281069424265</v>
      </c>
      <c r="AA89" s="28">
        <v>1978857408334</v>
      </c>
      <c r="AB89" s="60">
        <v>3035832351542</v>
      </c>
      <c r="AC89" s="28">
        <v>1498209161533</v>
      </c>
      <c r="AD89" s="13">
        <v>251601862069</v>
      </c>
      <c r="AE89" s="13">
        <v>126944473337</v>
      </c>
      <c r="AF89" s="13">
        <v>8610541407</v>
      </c>
      <c r="AG89" s="28">
        <v>422224811098</v>
      </c>
      <c r="AH89" s="28">
        <v>186323555820</v>
      </c>
      <c r="AI89" s="28">
        <v>2166735823702</v>
      </c>
      <c r="AJ89" s="28">
        <v>1311885605713</v>
      </c>
      <c r="AK89" s="21">
        <v>0.2271</v>
      </c>
      <c r="AL89" s="28">
        <v>1255053417271</v>
      </c>
      <c r="AM89" s="13">
        <v>372513070</v>
      </c>
      <c r="AN89" s="13">
        <v>2898</v>
      </c>
      <c r="AO89" s="13">
        <v>6402</v>
      </c>
      <c r="AP89" s="28">
        <v>736556780932</v>
      </c>
      <c r="AQ89" s="18">
        <v>55</v>
      </c>
    </row>
    <row r="90" spans="1:43" ht="14.25" customHeight="1" x14ac:dyDescent="0.35">
      <c r="A90" s="8" t="s">
        <v>106</v>
      </c>
      <c r="B90" s="8" t="s">
        <v>107</v>
      </c>
      <c r="C90" s="8" t="s">
        <v>45</v>
      </c>
      <c r="D90" s="9" t="s">
        <v>105</v>
      </c>
      <c r="E90" s="8">
        <v>2023</v>
      </c>
      <c r="F90" s="38">
        <v>0.16950000000000001</v>
      </c>
      <c r="G90" s="44">
        <v>0</v>
      </c>
      <c r="H90" s="38">
        <v>0.49959999999999999</v>
      </c>
      <c r="I90" s="38">
        <v>0.46960000000000002</v>
      </c>
      <c r="J90" s="13">
        <v>92597264</v>
      </c>
      <c r="K90" s="28">
        <v>3324824506088</v>
      </c>
      <c r="L90" s="28">
        <v>3279364384954</v>
      </c>
      <c r="M90" s="28">
        <v>-146908350442</v>
      </c>
      <c r="N90" s="28">
        <v>-136935925390</v>
      </c>
      <c r="O90" s="13">
        <v>180435860311</v>
      </c>
      <c r="P90" s="13">
        <v>684790692854</v>
      </c>
      <c r="Q90" s="28">
        <v>184549637663</v>
      </c>
      <c r="R90" s="13">
        <v>1376635413002</v>
      </c>
      <c r="S90" s="57">
        <v>2596011870755</v>
      </c>
      <c r="T90" s="13">
        <v>243413539284</v>
      </c>
      <c r="U90" s="13">
        <v>412253689672</v>
      </c>
      <c r="V90" s="13">
        <v>2961067852924</v>
      </c>
      <c r="W90" s="18" t="s">
        <v>47</v>
      </c>
      <c r="X90" s="18">
        <v>1</v>
      </c>
      <c r="Y90" s="18">
        <v>1</v>
      </c>
      <c r="Z90" s="28">
        <v>133804252735</v>
      </c>
      <c r="AA90" s="28">
        <v>2010136652221</v>
      </c>
      <c r="AB90" s="13">
        <v>3592773843200</v>
      </c>
      <c r="AC90" s="28">
        <v>1269227732733</v>
      </c>
      <c r="AD90" s="13">
        <v>413952894413</v>
      </c>
      <c r="AE90" s="13">
        <v>41951368033</v>
      </c>
      <c r="AF90" s="13">
        <v>62405614698</v>
      </c>
      <c r="AG90" s="28">
        <v>434896282731</v>
      </c>
      <c r="AH90" s="28">
        <v>95812892584</v>
      </c>
      <c r="AI90" s="28">
        <v>2130754199483</v>
      </c>
      <c r="AJ90" s="28">
        <v>1173414840149</v>
      </c>
      <c r="AK90" s="21">
        <v>-0.23330000000000001</v>
      </c>
      <c r="AL90" s="28">
        <v>1027930046160</v>
      </c>
      <c r="AM90" s="13">
        <v>57887453150</v>
      </c>
      <c r="AN90" s="13">
        <v>1211</v>
      </c>
      <c r="AO90" s="13">
        <v>5682</v>
      </c>
      <c r="AP90" s="28">
        <v>755576926044</v>
      </c>
      <c r="AQ90" s="18">
        <v>56</v>
      </c>
    </row>
    <row r="91" spans="1:43" ht="14.25" customHeight="1" x14ac:dyDescent="0.35">
      <c r="A91" s="8" t="s">
        <v>106</v>
      </c>
      <c r="B91" s="8" t="s">
        <v>107</v>
      </c>
      <c r="C91" s="8" t="s">
        <v>45</v>
      </c>
      <c r="D91" s="9" t="s">
        <v>105</v>
      </c>
      <c r="E91" s="8">
        <v>2024</v>
      </c>
      <c r="F91" s="38">
        <v>0.1008</v>
      </c>
      <c r="G91" s="44">
        <v>0</v>
      </c>
      <c r="H91" s="38">
        <v>0.46970000000000001</v>
      </c>
      <c r="I91" s="38">
        <v>0.46970000000000001</v>
      </c>
      <c r="J91" s="13">
        <v>101855032</v>
      </c>
      <c r="K91" s="28">
        <v>3810451106702</v>
      </c>
      <c r="L91" s="28">
        <v>3895534414371</v>
      </c>
      <c r="M91" s="28">
        <v>-154257848574</v>
      </c>
      <c r="N91" s="28">
        <v>-149830742745</v>
      </c>
      <c r="O91" s="13">
        <v>179313437398</v>
      </c>
      <c r="P91" s="13">
        <v>822303671091</v>
      </c>
      <c r="Q91" s="28">
        <v>339420390829</v>
      </c>
      <c r="R91" s="13">
        <v>1616897149308</v>
      </c>
      <c r="S91" s="57">
        <v>3168595820454</v>
      </c>
      <c r="T91" s="13">
        <v>220321269050</v>
      </c>
      <c r="U91" s="13">
        <v>597818865878</v>
      </c>
      <c r="V91" s="13">
        <v>3469395704175</v>
      </c>
      <c r="W91" s="18" t="s">
        <v>47</v>
      </c>
      <c r="X91" s="18">
        <v>1</v>
      </c>
      <c r="Y91" s="18">
        <v>1</v>
      </c>
      <c r="Z91" s="28">
        <v>278069130964</v>
      </c>
      <c r="AA91" s="28">
        <v>2271739713368</v>
      </c>
      <c r="AB91" s="13">
        <v>4200570000000</v>
      </c>
      <c r="AC91" s="28">
        <v>1623794701003</v>
      </c>
      <c r="AD91" s="13">
        <v>391611466611</v>
      </c>
      <c r="AE91" s="13">
        <v>237180366398</v>
      </c>
      <c r="AF91" s="13">
        <v>351953492923</v>
      </c>
      <c r="AG91" s="28">
        <v>563280117447</v>
      </c>
      <c r="AH91" s="28">
        <v>105515372321</v>
      </c>
      <c r="AI91" s="28">
        <v>2690037141466</v>
      </c>
      <c r="AJ91" s="28">
        <v>1518279328682</v>
      </c>
      <c r="AK91" s="21">
        <v>0.14510000000000001</v>
      </c>
      <c r="AL91" s="28">
        <v>1002737488623</v>
      </c>
      <c r="AM91" s="13">
        <v>737065500</v>
      </c>
      <c r="AN91" s="13">
        <v>2548</v>
      </c>
      <c r="AO91" s="13">
        <v>5929</v>
      </c>
      <c r="AP91" s="28">
        <v>845461517931</v>
      </c>
      <c r="AQ91" s="18">
        <v>57</v>
      </c>
    </row>
    <row r="92" spans="1:43" ht="14.25" customHeight="1" x14ac:dyDescent="0.35">
      <c r="A92" s="8" t="s">
        <v>108</v>
      </c>
      <c r="B92" s="8" t="s">
        <v>109</v>
      </c>
      <c r="C92" s="8" t="s">
        <v>45</v>
      </c>
      <c r="D92" s="9" t="s">
        <v>105</v>
      </c>
      <c r="E92" s="8">
        <v>2020</v>
      </c>
      <c r="F92" s="38">
        <v>6.0999999999999999E-2</v>
      </c>
      <c r="G92" s="44">
        <v>0</v>
      </c>
      <c r="H92" s="38">
        <v>0.74119999999999997</v>
      </c>
      <c r="I92" s="38">
        <v>0.26279999999999998</v>
      </c>
      <c r="J92" s="13">
        <v>77794453</v>
      </c>
      <c r="K92" s="28">
        <v>2684551950336</v>
      </c>
      <c r="L92" s="28">
        <v>2314599141762</v>
      </c>
      <c r="M92" s="28">
        <v>-488676448608</v>
      </c>
      <c r="N92" s="28">
        <v>-254856941468</v>
      </c>
      <c r="O92" s="13">
        <v>24643631466</v>
      </c>
      <c r="P92" s="13">
        <v>443460985914</v>
      </c>
      <c r="Q92" s="28">
        <v>296765441660</v>
      </c>
      <c r="R92" s="13">
        <v>720762529061</v>
      </c>
      <c r="S92" s="56">
        <v>1602673669092</v>
      </c>
      <c r="T92" s="13">
        <v>50494687517</v>
      </c>
      <c r="U92" s="13">
        <v>174035286445</v>
      </c>
      <c r="V92" s="13">
        <v>1780995634549</v>
      </c>
      <c r="W92" s="18" t="s">
        <v>47</v>
      </c>
      <c r="X92" s="18">
        <v>1</v>
      </c>
      <c r="Y92" s="18">
        <v>1</v>
      </c>
      <c r="Z92" s="28">
        <v>239845036749</v>
      </c>
      <c r="AA92" s="28">
        <v>1748259636290</v>
      </c>
      <c r="AB92" s="13">
        <v>3034000000000</v>
      </c>
      <c r="AC92" s="28">
        <v>566339505472</v>
      </c>
      <c r="AD92" s="13">
        <v>368569355530</v>
      </c>
      <c r="AE92" s="13">
        <v>85086927060</v>
      </c>
      <c r="AF92" s="13">
        <v>38784907071</v>
      </c>
      <c r="AG92" s="28">
        <v>371680211939</v>
      </c>
      <c r="AH92" s="28">
        <v>66783013387</v>
      </c>
      <c r="AI92" s="28">
        <v>1701751836942</v>
      </c>
      <c r="AJ92" s="28">
        <v>499556492085</v>
      </c>
      <c r="AK92" s="21">
        <v>-0.1699</v>
      </c>
      <c r="AL92" s="28">
        <v>530224405469</v>
      </c>
      <c r="AM92" s="13">
        <v>153373200000</v>
      </c>
      <c r="AN92" s="13">
        <v>2775</v>
      </c>
      <c r="AO92" s="13">
        <v>2968</v>
      </c>
      <c r="AP92" s="55">
        <v>438944610201</v>
      </c>
      <c r="AQ92" s="18">
        <v>39</v>
      </c>
    </row>
    <row r="93" spans="1:43" ht="14.25" customHeight="1" x14ac:dyDescent="0.35">
      <c r="A93" s="8" t="s">
        <v>108</v>
      </c>
      <c r="B93" s="8" t="s">
        <v>109</v>
      </c>
      <c r="C93" s="8" t="s">
        <v>45</v>
      </c>
      <c r="D93" s="9" t="s">
        <v>105</v>
      </c>
      <c r="E93" s="8">
        <v>2021</v>
      </c>
      <c r="F93" s="38">
        <v>7.8100000000000003E-2</v>
      </c>
      <c r="G93" s="44">
        <v>0</v>
      </c>
      <c r="H93" s="38">
        <v>0.74199999999999999</v>
      </c>
      <c r="I93" s="38">
        <v>0.25600000000000001</v>
      </c>
      <c r="J93" s="13">
        <v>77794453</v>
      </c>
      <c r="K93" s="28">
        <v>2668275093087</v>
      </c>
      <c r="L93" s="28">
        <v>2446138550928</v>
      </c>
      <c r="M93" s="28">
        <v>-504674977559</v>
      </c>
      <c r="N93" s="28">
        <v>-292392358391</v>
      </c>
      <c r="O93" s="13">
        <v>20153367784</v>
      </c>
      <c r="P93" s="13">
        <v>483449220863</v>
      </c>
      <c r="Q93" s="28">
        <v>355266117228</v>
      </c>
      <c r="R93" s="13">
        <v>816612694806</v>
      </c>
      <c r="S93" s="57">
        <v>1704002258238</v>
      </c>
      <c r="T93" s="13">
        <v>60399405581</v>
      </c>
      <c r="U93" s="13">
        <v>183340488444</v>
      </c>
      <c r="V93" s="13">
        <v>1934115424126</v>
      </c>
      <c r="W93" s="18" t="s">
        <v>47</v>
      </c>
      <c r="X93" s="18">
        <v>1</v>
      </c>
      <c r="Y93" s="18">
        <v>1</v>
      </c>
      <c r="Z93" s="28">
        <v>276707413257</v>
      </c>
      <c r="AA93" s="28">
        <v>1825578447277</v>
      </c>
      <c r="AB93" s="13">
        <v>3547000000000</v>
      </c>
      <c r="AC93" s="28">
        <v>620560103651</v>
      </c>
      <c r="AD93" s="13">
        <v>221187587613</v>
      </c>
      <c r="AE93" s="13">
        <v>58046246969</v>
      </c>
      <c r="AF93" s="13">
        <v>99339149667</v>
      </c>
      <c r="AG93" s="28">
        <v>503425694773</v>
      </c>
      <c r="AH93" s="28">
        <v>42264464254</v>
      </c>
      <c r="AI93" s="28">
        <v>1867453670532</v>
      </c>
      <c r="AJ93" s="28">
        <v>578295639397</v>
      </c>
      <c r="AK93" s="21">
        <v>-1.8800000000000001E-2</v>
      </c>
      <c r="AL93" s="28">
        <v>693114318297</v>
      </c>
      <c r="AM93" s="13">
        <v>194455871500</v>
      </c>
      <c r="AN93" s="13">
        <v>3201</v>
      </c>
      <c r="AO93" s="13">
        <v>2974</v>
      </c>
      <c r="AP93" s="55">
        <v>425390545912</v>
      </c>
      <c r="AQ93" s="18">
        <v>40</v>
      </c>
    </row>
    <row r="94" spans="1:43" ht="14.25" customHeight="1" x14ac:dyDescent="0.35">
      <c r="A94" s="8" t="s">
        <v>108</v>
      </c>
      <c r="B94" s="8" t="s">
        <v>109</v>
      </c>
      <c r="C94" s="8" t="s">
        <v>45</v>
      </c>
      <c r="D94" s="9" t="s">
        <v>105</v>
      </c>
      <c r="E94" s="8">
        <v>2022</v>
      </c>
      <c r="F94" s="38">
        <v>0.54110000000000003</v>
      </c>
      <c r="G94" s="44">
        <v>0</v>
      </c>
      <c r="H94" s="38">
        <v>0.55079999999999996</v>
      </c>
      <c r="I94" s="38">
        <v>7.0699999999999999E-2</v>
      </c>
      <c r="J94" s="13">
        <v>77794453</v>
      </c>
      <c r="K94" s="28">
        <v>3520857948925</v>
      </c>
      <c r="L94" s="28">
        <v>2869036051355</v>
      </c>
      <c r="M94" s="28">
        <v>-738522525878</v>
      </c>
      <c r="N94" s="28">
        <v>-319389279653</v>
      </c>
      <c r="O94" s="13">
        <v>24644596120</v>
      </c>
      <c r="P94" s="13">
        <v>618589542643</v>
      </c>
      <c r="Q94" s="28">
        <v>499152473259</v>
      </c>
      <c r="R94" s="13">
        <v>1260272245943</v>
      </c>
      <c r="S94" s="57">
        <v>2217808067997</v>
      </c>
      <c r="T94" s="57">
        <v>67529975600</v>
      </c>
      <c r="U94" s="13">
        <v>296420648444</v>
      </c>
      <c r="V94" s="13">
        <v>2715828015565</v>
      </c>
      <c r="W94" s="18" t="s">
        <v>47</v>
      </c>
      <c r="X94" s="18">
        <v>1</v>
      </c>
      <c r="Y94" s="18">
        <v>1</v>
      </c>
      <c r="Z94" s="28">
        <v>400937400515</v>
      </c>
      <c r="AA94" s="28">
        <v>1957871756822</v>
      </c>
      <c r="AB94" s="60">
        <v>2785975000000</v>
      </c>
      <c r="AC94" s="28">
        <v>911164294533</v>
      </c>
      <c r="AD94" s="13">
        <v>289174461853</v>
      </c>
      <c r="AE94" s="13">
        <v>169603926893</v>
      </c>
      <c r="AF94" s="13">
        <v>291035383902</v>
      </c>
      <c r="AG94" s="28">
        <v>405368125624</v>
      </c>
      <c r="AH94" s="28">
        <v>79908585906</v>
      </c>
      <c r="AI94" s="28">
        <v>2133213102262</v>
      </c>
      <c r="AJ94" s="28">
        <v>831255708627</v>
      </c>
      <c r="AK94" s="21">
        <v>0.32140000000000002</v>
      </c>
      <c r="AL94" s="28">
        <v>914140453757</v>
      </c>
      <c r="AM94" s="13">
        <v>155619167000</v>
      </c>
      <c r="AN94" s="13">
        <v>4643</v>
      </c>
      <c r="AO94" s="13">
        <v>3360</v>
      </c>
      <c r="AP94" s="55">
        <v>453705201167</v>
      </c>
      <c r="AQ94" s="18">
        <v>41</v>
      </c>
    </row>
    <row r="95" spans="1:43" ht="14.25" customHeight="1" x14ac:dyDescent="0.35">
      <c r="A95" s="8" t="s">
        <v>108</v>
      </c>
      <c r="B95" s="8" t="s">
        <v>109</v>
      </c>
      <c r="C95" s="8" t="s">
        <v>45</v>
      </c>
      <c r="D95" s="9" t="s">
        <v>105</v>
      </c>
      <c r="E95" s="8">
        <v>2023</v>
      </c>
      <c r="F95" s="38">
        <v>0.1123</v>
      </c>
      <c r="G95" s="44">
        <v>0</v>
      </c>
      <c r="H95" s="38">
        <v>0.75700000000000001</v>
      </c>
      <c r="I95" s="38">
        <v>0.222</v>
      </c>
      <c r="J95" s="13">
        <v>78594453</v>
      </c>
      <c r="K95" s="28">
        <v>3461873216196</v>
      </c>
      <c r="L95" s="28">
        <v>2808448178821</v>
      </c>
      <c r="M95" s="28">
        <v>-740549101955</v>
      </c>
      <c r="N95" s="28">
        <v>-346843180321</v>
      </c>
      <c r="O95" s="13">
        <v>25607366115</v>
      </c>
      <c r="P95" s="13">
        <v>640868796034</v>
      </c>
      <c r="Q95" s="28">
        <v>443970007801</v>
      </c>
      <c r="R95" s="13">
        <v>1077118635212</v>
      </c>
      <c r="S95" s="57">
        <v>1874003736310</v>
      </c>
      <c r="T95" s="13">
        <v>70386644948</v>
      </c>
      <c r="U95" s="13">
        <v>343221110694</v>
      </c>
      <c r="V95" s="13">
        <v>2578202493965</v>
      </c>
      <c r="W95" s="18" t="s">
        <v>47</v>
      </c>
      <c r="X95" s="18">
        <v>1</v>
      </c>
      <c r="Y95" s="18">
        <v>1</v>
      </c>
      <c r="Z95" s="28">
        <v>356174272581</v>
      </c>
      <c r="AA95" s="28">
        <v>2093980082652</v>
      </c>
      <c r="AB95" s="13">
        <v>4008000000000</v>
      </c>
      <c r="AC95" s="28">
        <v>714468096169</v>
      </c>
      <c r="AD95" s="13">
        <v>249103780494</v>
      </c>
      <c r="AE95" s="13">
        <v>106967786946</v>
      </c>
      <c r="AF95" s="13">
        <v>190932700991</v>
      </c>
      <c r="AG95" s="28">
        <v>243232641902</v>
      </c>
      <c r="AH95" s="28">
        <v>54930819159</v>
      </c>
      <c r="AI95" s="28">
        <v>2074455057354</v>
      </c>
      <c r="AJ95" s="28">
        <v>659537277010</v>
      </c>
      <c r="AK95" s="21">
        <v>-1.5100000000000001E-2</v>
      </c>
      <c r="AL95" s="28">
        <v>831699883043</v>
      </c>
      <c r="AM95" s="13">
        <v>272280585500</v>
      </c>
      <c r="AN95" s="13">
        <v>4147</v>
      </c>
      <c r="AO95" s="13">
        <v>3075</v>
      </c>
      <c r="AP95" s="55">
        <v>549978973266</v>
      </c>
      <c r="AQ95" s="18">
        <v>42</v>
      </c>
    </row>
    <row r="96" spans="1:43" ht="14.25" customHeight="1" x14ac:dyDescent="0.35">
      <c r="A96" s="8" t="s">
        <v>108</v>
      </c>
      <c r="B96" s="8" t="s">
        <v>109</v>
      </c>
      <c r="C96" s="8" t="s">
        <v>45</v>
      </c>
      <c r="D96" s="9" t="s">
        <v>105</v>
      </c>
      <c r="E96" s="8">
        <v>2024</v>
      </c>
      <c r="F96" s="38">
        <v>0.58330000000000004</v>
      </c>
      <c r="G96" s="44">
        <v>0</v>
      </c>
      <c r="H96" s="38">
        <v>0.70799999999999996</v>
      </c>
      <c r="I96" s="38">
        <v>0.215</v>
      </c>
      <c r="J96" s="13">
        <v>86453575</v>
      </c>
      <c r="K96" s="28">
        <v>3758585336781</v>
      </c>
      <c r="L96" s="28">
        <v>3359561363489</v>
      </c>
      <c r="M96" s="28">
        <v>-769661526258</v>
      </c>
      <c r="N96" s="28">
        <v>-357185352088</v>
      </c>
      <c r="O96" s="13">
        <v>23415211354</v>
      </c>
      <c r="P96" s="13">
        <v>715251502550</v>
      </c>
      <c r="Q96" s="28">
        <v>580025969561</v>
      </c>
      <c r="R96" s="13">
        <v>1035956163593</v>
      </c>
      <c r="S96" s="57">
        <v>2036381259790</v>
      </c>
      <c r="T96" s="13">
        <v>71583668887</v>
      </c>
      <c r="U96" s="13">
        <v>423524009498</v>
      </c>
      <c r="V96" s="13">
        <v>2566336641032</v>
      </c>
      <c r="W96" s="18" t="s">
        <v>47</v>
      </c>
      <c r="X96" s="18">
        <v>1</v>
      </c>
      <c r="Y96" s="18">
        <v>1</v>
      </c>
      <c r="Z96" s="28">
        <v>460197857479</v>
      </c>
      <c r="AA96" s="28">
        <v>2347227883171</v>
      </c>
      <c r="AB96" s="13">
        <v>5697000000000</v>
      </c>
      <c r="AC96" s="28">
        <v>1012333480318</v>
      </c>
      <c r="AD96" s="13">
        <v>359120918858</v>
      </c>
      <c r="AE96" s="13">
        <v>83202845262</v>
      </c>
      <c r="AF96" s="13">
        <v>36060420024</v>
      </c>
      <c r="AG96" s="28">
        <v>700074273053</v>
      </c>
      <c r="AH96" s="28">
        <v>26666450000</v>
      </c>
      <c r="AI96" s="28">
        <v>2670706305975</v>
      </c>
      <c r="AJ96" s="28">
        <v>985667030318</v>
      </c>
      <c r="AK96" s="21">
        <v>7.9000000000000001E-2</v>
      </c>
      <c r="AL96" s="28">
        <v>784896481994</v>
      </c>
      <c r="AM96" s="13">
        <v>157200071500</v>
      </c>
      <c r="AN96" s="13">
        <v>4806</v>
      </c>
      <c r="AO96" s="13">
        <v>2977</v>
      </c>
      <c r="AP96" s="55">
        <v>504876115604</v>
      </c>
      <c r="AQ96" s="18">
        <v>43</v>
      </c>
    </row>
    <row r="97" spans="1:43" ht="14.25" customHeight="1" x14ac:dyDescent="0.35">
      <c r="A97" s="8" t="s">
        <v>110</v>
      </c>
      <c r="B97" s="8" t="s">
        <v>111</v>
      </c>
      <c r="C97" s="8" t="s">
        <v>72</v>
      </c>
      <c r="D97" s="9" t="s">
        <v>55</v>
      </c>
      <c r="E97" s="8">
        <v>2020</v>
      </c>
      <c r="F97" s="32">
        <v>4.1099999999999998E-2</v>
      </c>
      <c r="G97" s="33">
        <v>0</v>
      </c>
      <c r="H97" s="32">
        <v>0.81632000000000005</v>
      </c>
      <c r="I97" s="61">
        <v>0.03</v>
      </c>
      <c r="J97" s="34">
        <v>155200000</v>
      </c>
      <c r="K97" s="28">
        <v>5659594518666</v>
      </c>
      <c r="L97" s="28">
        <v>6055334343933</v>
      </c>
      <c r="M97" s="28">
        <v>-160513261846</v>
      </c>
      <c r="N97" s="28">
        <v>-71482375291</v>
      </c>
      <c r="O97" s="34">
        <v>7157540892</v>
      </c>
      <c r="P97" s="34">
        <v>438669529361</v>
      </c>
      <c r="Q97" s="28">
        <v>1679027973300</v>
      </c>
      <c r="R97" s="34">
        <v>3370839298655</v>
      </c>
      <c r="S97" s="62">
        <v>3796981457536</v>
      </c>
      <c r="T97" s="34">
        <v>16827197992</v>
      </c>
      <c r="U97" s="34">
        <v>289605746499</v>
      </c>
      <c r="V97" s="34">
        <v>3898707715841</v>
      </c>
      <c r="W97" s="18" t="s">
        <v>47</v>
      </c>
      <c r="X97" s="18">
        <v>1</v>
      </c>
      <c r="Y97" s="18">
        <v>1</v>
      </c>
      <c r="Z97" s="28">
        <v>1428419763711</v>
      </c>
      <c r="AA97" s="28">
        <v>3857821070789</v>
      </c>
      <c r="AB97" s="34">
        <v>13533440000000</v>
      </c>
      <c r="AC97" s="28">
        <v>2197513273144</v>
      </c>
      <c r="AD97" s="34">
        <v>1260453205002</v>
      </c>
      <c r="AE97" s="34">
        <v>88395274034</v>
      </c>
      <c r="AF97" s="34">
        <v>82752553988</v>
      </c>
      <c r="AG97" s="28">
        <v>790349857796</v>
      </c>
      <c r="AH97" s="28">
        <v>199592650918</v>
      </c>
      <c r="AI97" s="28">
        <v>4900512297699</v>
      </c>
      <c r="AJ97" s="28">
        <v>1997920622226</v>
      </c>
      <c r="AK97" s="21">
        <v>1.9E-2</v>
      </c>
      <c r="AL97" s="28">
        <v>2014961208129</v>
      </c>
      <c r="AM97" s="34">
        <v>627149566575</v>
      </c>
      <c r="AN97" s="34">
        <v>8251</v>
      </c>
      <c r="AO97" s="35">
        <v>902</v>
      </c>
      <c r="AP97" s="55">
        <v>765006248946</v>
      </c>
      <c r="AQ97" s="18">
        <v>18</v>
      </c>
    </row>
    <row r="98" spans="1:43" ht="14.25" customHeight="1" x14ac:dyDescent="0.35">
      <c r="A98" s="36" t="s">
        <v>110</v>
      </c>
      <c r="B98" s="36" t="s">
        <v>111</v>
      </c>
      <c r="C98" s="36" t="s">
        <v>72</v>
      </c>
      <c r="D98" s="41" t="s">
        <v>55</v>
      </c>
      <c r="E98" s="36">
        <v>2021</v>
      </c>
      <c r="F98" s="10">
        <v>4.1099999999999998E-2</v>
      </c>
      <c r="G98" s="11">
        <v>0</v>
      </c>
      <c r="H98" s="10">
        <v>0.85045000000000004</v>
      </c>
      <c r="I98" s="10">
        <v>3.6510000000000001E-2</v>
      </c>
      <c r="J98" s="14">
        <v>160000000</v>
      </c>
      <c r="K98" s="15">
        <v>7070128978997</v>
      </c>
      <c r="L98" s="15">
        <v>6892913568363</v>
      </c>
      <c r="M98" s="15">
        <v>-272145112014</v>
      </c>
      <c r="N98" s="15">
        <v>-47348871942</v>
      </c>
      <c r="O98" s="14">
        <v>5438266221</v>
      </c>
      <c r="P98" s="14">
        <v>548536316993</v>
      </c>
      <c r="Q98" s="15">
        <v>2115605263329</v>
      </c>
      <c r="R98" s="14">
        <v>4363117389624</v>
      </c>
      <c r="S98" s="60">
        <v>4582728058984</v>
      </c>
      <c r="T98" s="14">
        <v>30552469465</v>
      </c>
      <c r="U98" s="14">
        <v>385620921198</v>
      </c>
      <c r="V98" s="14">
        <v>5015488653943</v>
      </c>
      <c r="W98" s="19" t="s">
        <v>47</v>
      </c>
      <c r="X98" s="19">
        <v>1</v>
      </c>
      <c r="Y98" s="19">
        <v>1</v>
      </c>
      <c r="Z98" s="15">
        <v>1772059864055</v>
      </c>
      <c r="AA98" s="15">
        <v>4874197016708</v>
      </c>
      <c r="AB98" s="14">
        <v>18720000000000</v>
      </c>
      <c r="AC98" s="15">
        <v>2018716551655</v>
      </c>
      <c r="AD98" s="14">
        <v>1094609315672</v>
      </c>
      <c r="AE98" s="14">
        <v>41195138027</v>
      </c>
      <c r="AF98" s="14">
        <v>86632898201</v>
      </c>
      <c r="AG98" s="15">
        <v>1045421628805</v>
      </c>
      <c r="AH98" s="15">
        <v>146297297862</v>
      </c>
      <c r="AI98" s="15">
        <v>5829100412476</v>
      </c>
      <c r="AJ98" s="15">
        <v>1872419253793</v>
      </c>
      <c r="AK98" s="43">
        <v>0.25259999999999999</v>
      </c>
      <c r="AL98" s="15">
        <v>1990065772716</v>
      </c>
      <c r="AM98" s="14">
        <v>642014742700</v>
      </c>
      <c r="AN98" s="14">
        <v>9890</v>
      </c>
      <c r="AO98" s="31">
        <v>980</v>
      </c>
      <c r="AP98" s="55">
        <v>872544041606</v>
      </c>
      <c r="AQ98" s="19">
        <v>19</v>
      </c>
    </row>
    <row r="99" spans="1:43" ht="14.25" customHeight="1" x14ac:dyDescent="0.35">
      <c r="A99" s="8" t="s">
        <v>110</v>
      </c>
      <c r="B99" s="8" t="s">
        <v>111</v>
      </c>
      <c r="C99" s="8" t="s">
        <v>72</v>
      </c>
      <c r="D99" s="9" t="s">
        <v>55</v>
      </c>
      <c r="E99" s="8">
        <v>2022</v>
      </c>
      <c r="F99" s="32">
        <v>4.1099999999999998E-2</v>
      </c>
      <c r="G99" s="44">
        <v>0</v>
      </c>
      <c r="H99" s="32">
        <v>0.84153999999999995</v>
      </c>
      <c r="I99" s="32">
        <v>3.049E-2</v>
      </c>
      <c r="J99" s="34">
        <v>160000000</v>
      </c>
      <c r="K99" s="28">
        <v>5660265444192</v>
      </c>
      <c r="L99" s="28">
        <v>6589904840964</v>
      </c>
      <c r="M99" s="28">
        <v>-254616726453</v>
      </c>
      <c r="N99" s="28">
        <v>-66807125334</v>
      </c>
      <c r="O99" s="34">
        <v>3142471538</v>
      </c>
      <c r="P99" s="34">
        <v>508999016801</v>
      </c>
      <c r="Q99" s="28">
        <v>1382212108337</v>
      </c>
      <c r="R99" s="34">
        <v>3702013086055</v>
      </c>
      <c r="S99" s="62">
        <v>4514661875187</v>
      </c>
      <c r="T99" s="34">
        <v>48956930856</v>
      </c>
      <c r="U99" s="34">
        <v>340450846974</v>
      </c>
      <c r="V99" s="34">
        <v>4315356195164</v>
      </c>
      <c r="W99" s="18" t="s">
        <v>47</v>
      </c>
      <c r="X99" s="18">
        <v>1</v>
      </c>
      <c r="Y99" s="18">
        <v>1</v>
      </c>
      <c r="Z99" s="28">
        <v>1148702304551</v>
      </c>
      <c r="AA99" s="28">
        <v>4868737646257</v>
      </c>
      <c r="AB99" s="27">
        <v>9280000000000</v>
      </c>
      <c r="AC99" s="28">
        <v>1721167194707</v>
      </c>
      <c r="AD99" s="34">
        <v>1191806516976</v>
      </c>
      <c r="AE99" s="34">
        <v>60932414789</v>
      </c>
      <c r="AF99" s="34">
        <v>20888367506</v>
      </c>
      <c r="AG99" s="28">
        <v>1101676090814</v>
      </c>
      <c r="AH99" s="28">
        <v>93098280458</v>
      </c>
      <c r="AI99" s="28">
        <v>5541110081466</v>
      </c>
      <c r="AJ99" s="28">
        <v>1628068914249</v>
      </c>
      <c r="AK99" s="21">
        <v>-0.20100000000000001</v>
      </c>
      <c r="AL99" s="28">
        <v>2577658997132</v>
      </c>
      <c r="AM99" s="34">
        <v>959037237800</v>
      </c>
      <c r="AN99" s="34">
        <v>6425</v>
      </c>
      <c r="AO99" s="35">
        <v>957</v>
      </c>
      <c r="AP99" s="55">
        <v>830084899712</v>
      </c>
      <c r="AQ99" s="18">
        <v>20</v>
      </c>
    </row>
    <row r="100" spans="1:43" ht="14.25" customHeight="1" x14ac:dyDescent="0.35">
      <c r="A100" s="36" t="s">
        <v>110</v>
      </c>
      <c r="B100" s="36" t="s">
        <v>111</v>
      </c>
      <c r="C100" s="36" t="s">
        <v>72</v>
      </c>
      <c r="D100" s="41" t="s">
        <v>55</v>
      </c>
      <c r="E100" s="36">
        <v>2023</v>
      </c>
      <c r="F100" s="10">
        <v>4.1099999999999998E-2</v>
      </c>
      <c r="G100" s="11">
        <v>0</v>
      </c>
      <c r="H100" s="10">
        <v>0.84153999999999995</v>
      </c>
      <c r="I100" s="10">
        <v>2.742E-2</v>
      </c>
      <c r="J100" s="14">
        <v>160000000</v>
      </c>
      <c r="K100" s="15">
        <v>4353861143572</v>
      </c>
      <c r="L100" s="15">
        <v>6468248784341</v>
      </c>
      <c r="M100" s="15">
        <v>-156494238157</v>
      </c>
      <c r="N100" s="15">
        <v>-58714711756</v>
      </c>
      <c r="O100" s="14">
        <v>2004438032</v>
      </c>
      <c r="P100" s="14">
        <v>315283453400</v>
      </c>
      <c r="Q100" s="15">
        <v>1006891945310</v>
      </c>
      <c r="R100" s="14">
        <v>2849447931599</v>
      </c>
      <c r="S100" s="62">
        <v>3065566428657</v>
      </c>
      <c r="T100" s="14">
        <v>25124948522</v>
      </c>
      <c r="U100" s="14">
        <v>153683725097</v>
      </c>
      <c r="V100" s="14">
        <v>3264222240221</v>
      </c>
      <c r="W100" s="19" t="s">
        <v>47</v>
      </c>
      <c r="X100" s="19">
        <v>1</v>
      </c>
      <c r="Y100" s="19">
        <v>1</v>
      </c>
      <c r="Z100" s="15">
        <v>846380429683</v>
      </c>
      <c r="AA100" s="15">
        <v>4985818408271</v>
      </c>
      <c r="AB100" s="17">
        <v>8800000000000</v>
      </c>
      <c r="AC100" s="15">
        <v>1482430376070</v>
      </c>
      <c r="AD100" s="14">
        <v>1329441954611</v>
      </c>
      <c r="AE100" s="14">
        <v>31368122595</v>
      </c>
      <c r="AF100" s="14">
        <v>52980070523</v>
      </c>
      <c r="AG100" s="15">
        <v>1403055900429</v>
      </c>
      <c r="AH100" s="15">
        <v>41712388654</v>
      </c>
      <c r="AI100" s="15">
        <v>5515837061167</v>
      </c>
      <c r="AJ100" s="15">
        <v>1440717987416</v>
      </c>
      <c r="AK100" s="43">
        <v>-0.23180000000000001</v>
      </c>
      <c r="AL100" s="15">
        <v>2644021541821</v>
      </c>
      <c r="AM100" s="14">
        <v>640589431575</v>
      </c>
      <c r="AN100" s="14">
        <v>5041</v>
      </c>
      <c r="AO100" s="31">
        <v>842</v>
      </c>
      <c r="AP100" s="55">
        <v>742579449715</v>
      </c>
      <c r="AQ100" s="19">
        <v>21</v>
      </c>
    </row>
    <row r="101" spans="1:43" ht="14.25" customHeight="1" x14ac:dyDescent="0.35">
      <c r="A101" s="8" t="s">
        <v>110</v>
      </c>
      <c r="B101" s="8" t="s">
        <v>111</v>
      </c>
      <c r="C101" s="8" t="s">
        <v>72</v>
      </c>
      <c r="D101" s="9" t="s">
        <v>55</v>
      </c>
      <c r="E101" s="8">
        <v>2024</v>
      </c>
      <c r="F101" s="32">
        <v>4.1027500000000001E-2</v>
      </c>
      <c r="G101" s="33">
        <v>0</v>
      </c>
      <c r="H101" s="32">
        <v>0.84154375000000003</v>
      </c>
      <c r="I101" s="32">
        <v>1.744394375E-2</v>
      </c>
      <c r="J101" s="34">
        <v>160000000</v>
      </c>
      <c r="K101" s="28">
        <v>4322071392821</v>
      </c>
      <c r="L101" s="28">
        <v>6466972011383</v>
      </c>
      <c r="M101" s="28">
        <v>-191654021101</v>
      </c>
      <c r="N101" s="28">
        <v>-65915265249</v>
      </c>
      <c r="O101" s="34">
        <v>2810850760</v>
      </c>
      <c r="P101" s="34">
        <v>335879042347</v>
      </c>
      <c r="Q101" s="28">
        <v>960647840563</v>
      </c>
      <c r="R101" s="34">
        <v>2885522038008</v>
      </c>
      <c r="S101" s="62">
        <v>2316408745483</v>
      </c>
      <c r="T101" s="34">
        <v>48500707213</v>
      </c>
      <c r="U101" s="34">
        <v>178478233484</v>
      </c>
      <c r="V101" s="34">
        <v>3338508038140</v>
      </c>
      <c r="W101" s="18" t="s">
        <v>47</v>
      </c>
      <c r="X101" s="18">
        <v>1</v>
      </c>
      <c r="Y101" s="18">
        <v>1</v>
      </c>
      <c r="Z101" s="28">
        <v>807122189551</v>
      </c>
      <c r="AA101" s="28">
        <v>5109622143830</v>
      </c>
      <c r="AB101" s="27">
        <v>10160000000000</v>
      </c>
      <c r="AC101" s="28">
        <v>1357349867553</v>
      </c>
      <c r="AD101" s="34">
        <v>1716575930736</v>
      </c>
      <c r="AE101" s="34">
        <v>159990678055</v>
      </c>
      <c r="AF101" s="34">
        <v>744640797490</v>
      </c>
      <c r="AG101" s="28">
        <v>1583190798036</v>
      </c>
      <c r="AH101" s="28">
        <v>30708058954</v>
      </c>
      <c r="AI101" s="28">
        <v>5473448538482</v>
      </c>
      <c r="AJ101" s="28">
        <v>1326641808599</v>
      </c>
      <c r="AK101" s="21">
        <v>-4.1000000000000003E-3</v>
      </c>
      <c r="AL101" s="28">
        <v>1816451063141</v>
      </c>
      <c r="AM101" s="34">
        <v>639827276600</v>
      </c>
      <c r="AN101" s="34">
        <v>4824</v>
      </c>
      <c r="AO101" s="35">
        <v>827</v>
      </c>
      <c r="AP101" s="55">
        <v>666987494455</v>
      </c>
      <c r="AQ101" s="18">
        <v>22</v>
      </c>
    </row>
    <row r="102" spans="1:43" ht="14.25" customHeight="1" x14ac:dyDescent="0.35">
      <c r="D102" s="63"/>
      <c r="F102" s="64"/>
      <c r="G102" s="65"/>
      <c r="H102" s="64"/>
      <c r="I102" s="64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</row>
    <row r="103" spans="1:43" ht="14.25" customHeight="1" x14ac:dyDescent="0.35">
      <c r="D103" s="63"/>
      <c r="F103" s="64"/>
      <c r="G103" s="65"/>
      <c r="H103" s="64"/>
      <c r="I103" s="64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</row>
    <row r="104" spans="1:43" ht="14.25" customHeight="1" x14ac:dyDescent="0.35">
      <c r="D104" s="63"/>
      <c r="F104" s="64"/>
      <c r="G104" s="65"/>
      <c r="H104" s="64"/>
      <c r="I104" s="64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</row>
    <row r="105" spans="1:43" ht="14.25" customHeight="1" x14ac:dyDescent="0.35">
      <c r="D105" s="63"/>
      <c r="F105" s="64"/>
      <c r="G105" s="65"/>
      <c r="H105" s="64"/>
      <c r="I105" s="64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</row>
    <row r="106" spans="1:43" ht="14.25" customHeight="1" x14ac:dyDescent="0.35">
      <c r="D106" s="63"/>
      <c r="F106" s="64"/>
      <c r="G106" s="65"/>
      <c r="H106" s="64"/>
      <c r="I106" s="64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</row>
    <row r="107" spans="1:43" ht="14.25" customHeight="1" x14ac:dyDescent="0.35">
      <c r="D107" s="63"/>
      <c r="F107" s="64"/>
      <c r="G107" s="65"/>
      <c r="H107" s="64"/>
      <c r="I107" s="64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</row>
    <row r="108" spans="1:43" ht="14.25" customHeight="1" x14ac:dyDescent="0.35">
      <c r="D108" s="63"/>
      <c r="F108" s="64"/>
      <c r="G108" s="65"/>
      <c r="H108" s="64"/>
      <c r="I108" s="64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</row>
    <row r="109" spans="1:43" ht="14.25" customHeight="1" x14ac:dyDescent="0.35">
      <c r="D109" s="63"/>
      <c r="F109" s="64"/>
      <c r="G109" s="65"/>
      <c r="H109" s="64"/>
      <c r="I109" s="64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</row>
    <row r="110" spans="1:43" ht="14.25" customHeight="1" x14ac:dyDescent="0.35">
      <c r="D110" s="63"/>
      <c r="F110" s="64"/>
      <c r="G110" s="65"/>
      <c r="H110" s="64"/>
      <c r="I110" s="64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</row>
    <row r="111" spans="1:43" ht="14.25" customHeight="1" x14ac:dyDescent="0.35">
      <c r="D111" s="63"/>
      <c r="F111" s="64"/>
      <c r="G111" s="65"/>
      <c r="H111" s="64"/>
      <c r="I111" s="64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</row>
    <row r="112" spans="1:43" ht="14.25" customHeight="1" x14ac:dyDescent="0.35">
      <c r="D112" s="63"/>
      <c r="F112" s="64"/>
      <c r="G112" s="65"/>
      <c r="H112" s="64"/>
      <c r="I112" s="64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</row>
    <row r="113" spans="4:43" ht="14.25" customHeight="1" x14ac:dyDescent="0.35">
      <c r="D113" s="63"/>
      <c r="F113" s="64"/>
      <c r="G113" s="65"/>
      <c r="H113" s="64"/>
      <c r="I113" s="64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</row>
    <row r="114" spans="4:43" ht="14.25" customHeight="1" x14ac:dyDescent="0.35">
      <c r="D114" s="63"/>
      <c r="F114" s="64"/>
      <c r="G114" s="65"/>
      <c r="H114" s="64"/>
      <c r="I114" s="64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</row>
    <row r="115" spans="4:43" ht="14.25" customHeight="1" x14ac:dyDescent="0.35">
      <c r="D115" s="63"/>
      <c r="F115" s="64"/>
      <c r="G115" s="65"/>
      <c r="H115" s="64"/>
      <c r="I115" s="64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</row>
    <row r="116" spans="4:43" ht="14.25" customHeight="1" x14ac:dyDescent="0.35">
      <c r="D116" s="63"/>
      <c r="F116" s="64"/>
      <c r="G116" s="65"/>
      <c r="H116" s="64"/>
      <c r="I116" s="64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</row>
    <row r="117" spans="4:43" ht="14.25" customHeight="1" x14ac:dyDescent="0.35">
      <c r="D117" s="63"/>
      <c r="F117" s="64"/>
      <c r="G117" s="65"/>
      <c r="H117" s="64"/>
      <c r="I117" s="64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</row>
    <row r="118" spans="4:43" ht="14.25" customHeight="1" x14ac:dyDescent="0.35">
      <c r="D118" s="63"/>
      <c r="F118" s="64"/>
      <c r="G118" s="65"/>
      <c r="H118" s="64"/>
      <c r="I118" s="64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</row>
    <row r="119" spans="4:43" ht="14.25" customHeight="1" x14ac:dyDescent="0.35">
      <c r="D119" s="63"/>
      <c r="F119" s="64"/>
      <c r="G119" s="65"/>
      <c r="H119" s="64"/>
      <c r="I119" s="64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</row>
    <row r="120" spans="4:43" ht="14.25" customHeight="1" x14ac:dyDescent="0.35">
      <c r="D120" s="63"/>
      <c r="F120" s="64"/>
      <c r="G120" s="65"/>
      <c r="H120" s="64"/>
      <c r="I120" s="64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</row>
    <row r="121" spans="4:43" ht="14.25" customHeight="1" x14ac:dyDescent="0.35">
      <c r="D121" s="63"/>
      <c r="F121" s="64"/>
      <c r="G121" s="65"/>
      <c r="H121" s="64"/>
      <c r="I121" s="64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</row>
    <row r="122" spans="4:43" ht="14.25" customHeight="1" x14ac:dyDescent="0.35">
      <c r="D122" s="63"/>
      <c r="F122" s="64"/>
      <c r="G122" s="65"/>
      <c r="H122" s="64"/>
      <c r="I122" s="64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</row>
    <row r="123" spans="4:43" ht="14.25" customHeight="1" x14ac:dyDescent="0.35">
      <c r="D123" s="63"/>
      <c r="F123" s="64"/>
      <c r="G123" s="65"/>
      <c r="H123" s="64"/>
      <c r="I123" s="64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</row>
    <row r="124" spans="4:43" ht="14.25" customHeight="1" x14ac:dyDescent="0.35">
      <c r="D124" s="63"/>
      <c r="F124" s="64"/>
      <c r="G124" s="65"/>
      <c r="H124" s="64"/>
      <c r="I124" s="64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</row>
    <row r="125" spans="4:43" ht="14.25" customHeight="1" x14ac:dyDescent="0.35">
      <c r="D125" s="63"/>
      <c r="F125" s="64"/>
      <c r="G125" s="65"/>
      <c r="H125" s="64"/>
      <c r="I125" s="64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</row>
    <row r="126" spans="4:43" ht="14.25" customHeight="1" x14ac:dyDescent="0.35">
      <c r="D126" s="63"/>
      <c r="F126" s="64"/>
      <c r="G126" s="65"/>
      <c r="H126" s="64"/>
      <c r="I126" s="64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</row>
    <row r="127" spans="4:43" ht="14.25" customHeight="1" x14ac:dyDescent="0.35">
      <c r="D127" s="63"/>
      <c r="F127" s="64"/>
      <c r="G127" s="65"/>
      <c r="H127" s="64"/>
      <c r="I127" s="64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</row>
    <row r="128" spans="4:43" ht="14.25" customHeight="1" x14ac:dyDescent="0.35">
      <c r="D128" s="63"/>
      <c r="F128" s="64"/>
      <c r="G128" s="65"/>
      <c r="H128" s="64"/>
      <c r="I128" s="64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</row>
    <row r="129" spans="4:43" ht="14.25" customHeight="1" x14ac:dyDescent="0.35">
      <c r="D129" s="63"/>
      <c r="F129" s="64"/>
      <c r="G129" s="65"/>
      <c r="H129" s="64"/>
      <c r="I129" s="64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</row>
    <row r="130" spans="4:43" ht="14.25" customHeight="1" x14ac:dyDescent="0.35">
      <c r="D130" s="63"/>
      <c r="F130" s="64"/>
      <c r="G130" s="65"/>
      <c r="H130" s="64"/>
      <c r="I130" s="64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</row>
    <row r="131" spans="4:43" ht="14.25" customHeight="1" x14ac:dyDescent="0.35">
      <c r="D131" s="63"/>
      <c r="F131" s="64"/>
      <c r="G131" s="65"/>
      <c r="H131" s="64"/>
      <c r="I131" s="64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</row>
    <row r="132" spans="4:43" ht="14.25" customHeight="1" x14ac:dyDescent="0.35">
      <c r="D132" s="63"/>
      <c r="F132" s="64"/>
      <c r="G132" s="65"/>
      <c r="H132" s="64"/>
      <c r="I132" s="64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</row>
    <row r="133" spans="4:43" ht="14.25" customHeight="1" x14ac:dyDescent="0.35">
      <c r="D133" s="63"/>
      <c r="F133" s="64"/>
      <c r="G133" s="65"/>
      <c r="H133" s="64"/>
      <c r="I133" s="64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</row>
    <row r="134" spans="4:43" ht="14.25" customHeight="1" x14ac:dyDescent="0.35">
      <c r="D134" s="63"/>
      <c r="F134" s="64"/>
      <c r="G134" s="65"/>
      <c r="H134" s="64"/>
      <c r="I134" s="64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</row>
    <row r="135" spans="4:43" ht="14.25" customHeight="1" x14ac:dyDescent="0.35">
      <c r="D135" s="63"/>
      <c r="F135" s="64"/>
      <c r="G135" s="65"/>
      <c r="H135" s="64"/>
      <c r="I135" s="64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</row>
    <row r="136" spans="4:43" ht="14.25" customHeight="1" x14ac:dyDescent="0.35">
      <c r="D136" s="63"/>
      <c r="F136" s="64"/>
      <c r="G136" s="65"/>
      <c r="H136" s="64"/>
      <c r="I136" s="64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</row>
    <row r="137" spans="4:43" ht="14.25" customHeight="1" x14ac:dyDescent="0.35">
      <c r="D137" s="63"/>
      <c r="F137" s="64"/>
      <c r="G137" s="65"/>
      <c r="H137" s="64"/>
      <c r="I137" s="64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</row>
    <row r="138" spans="4:43" ht="14.25" customHeight="1" x14ac:dyDescent="0.35">
      <c r="D138" s="63"/>
      <c r="F138" s="64"/>
      <c r="G138" s="65"/>
      <c r="H138" s="64"/>
      <c r="I138" s="64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</row>
    <row r="139" spans="4:43" ht="14.25" customHeight="1" x14ac:dyDescent="0.35">
      <c r="D139" s="63"/>
      <c r="F139" s="64"/>
      <c r="G139" s="65"/>
      <c r="H139" s="64"/>
      <c r="I139" s="64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</row>
    <row r="140" spans="4:43" ht="14.25" customHeight="1" x14ac:dyDescent="0.35">
      <c r="D140" s="63"/>
      <c r="F140" s="64"/>
      <c r="G140" s="65"/>
      <c r="H140" s="64"/>
      <c r="I140" s="64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</row>
    <row r="141" spans="4:43" ht="14.25" customHeight="1" x14ac:dyDescent="0.35">
      <c r="D141" s="63"/>
      <c r="F141" s="64"/>
      <c r="G141" s="65"/>
      <c r="H141" s="64"/>
      <c r="I141" s="64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</row>
    <row r="142" spans="4:43" ht="14.25" customHeight="1" x14ac:dyDescent="0.35">
      <c r="D142" s="63"/>
      <c r="F142" s="64"/>
      <c r="G142" s="65"/>
      <c r="H142" s="64"/>
      <c r="I142" s="64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</row>
    <row r="143" spans="4:43" ht="14.25" customHeight="1" x14ac:dyDescent="0.35">
      <c r="D143" s="63"/>
      <c r="F143" s="64"/>
      <c r="G143" s="65"/>
      <c r="H143" s="64"/>
      <c r="I143" s="64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</row>
    <row r="144" spans="4:43" ht="14.25" customHeight="1" x14ac:dyDescent="0.35">
      <c r="D144" s="63"/>
      <c r="F144" s="64"/>
      <c r="G144" s="65"/>
      <c r="H144" s="64"/>
      <c r="I144" s="64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</row>
    <row r="145" spans="4:43" ht="14.25" customHeight="1" x14ac:dyDescent="0.35">
      <c r="D145" s="63"/>
      <c r="F145" s="64"/>
      <c r="G145" s="65"/>
      <c r="H145" s="64"/>
      <c r="I145" s="64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</row>
    <row r="146" spans="4:43" ht="14.25" customHeight="1" x14ac:dyDescent="0.35">
      <c r="D146" s="63"/>
      <c r="F146" s="64"/>
      <c r="G146" s="65"/>
      <c r="H146" s="64"/>
      <c r="I146" s="64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</row>
    <row r="147" spans="4:43" ht="14.25" customHeight="1" x14ac:dyDescent="0.35">
      <c r="D147" s="63"/>
      <c r="F147" s="64"/>
      <c r="G147" s="65"/>
      <c r="H147" s="64"/>
      <c r="I147" s="64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</row>
    <row r="148" spans="4:43" ht="14.25" customHeight="1" x14ac:dyDescent="0.35">
      <c r="D148" s="63"/>
      <c r="F148" s="64"/>
      <c r="G148" s="65"/>
      <c r="H148" s="64"/>
      <c r="I148" s="64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</row>
    <row r="149" spans="4:43" ht="14.25" customHeight="1" x14ac:dyDescent="0.35">
      <c r="D149" s="63"/>
      <c r="F149" s="64"/>
      <c r="G149" s="65"/>
      <c r="H149" s="64"/>
      <c r="I149" s="64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</row>
    <row r="150" spans="4:43" ht="14.25" customHeight="1" x14ac:dyDescent="0.35">
      <c r="D150" s="63"/>
      <c r="F150" s="64"/>
      <c r="G150" s="65"/>
      <c r="H150" s="64"/>
      <c r="I150" s="64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</row>
    <row r="151" spans="4:43" ht="14.25" customHeight="1" x14ac:dyDescent="0.35">
      <c r="D151" s="63"/>
      <c r="F151" s="64"/>
      <c r="G151" s="65"/>
      <c r="H151" s="64"/>
      <c r="I151" s="64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</row>
    <row r="152" spans="4:43" ht="14.25" customHeight="1" x14ac:dyDescent="0.35">
      <c r="D152" s="63"/>
      <c r="F152" s="64"/>
      <c r="G152" s="65"/>
      <c r="H152" s="64"/>
      <c r="I152" s="64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</row>
    <row r="153" spans="4:43" ht="14.25" customHeight="1" x14ac:dyDescent="0.35">
      <c r="D153" s="63"/>
      <c r="F153" s="64"/>
      <c r="G153" s="65"/>
      <c r="H153" s="64"/>
      <c r="I153" s="64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</row>
    <row r="154" spans="4:43" ht="14.25" customHeight="1" x14ac:dyDescent="0.35">
      <c r="D154" s="63"/>
      <c r="F154" s="64"/>
      <c r="G154" s="65"/>
      <c r="H154" s="64"/>
      <c r="I154" s="64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</row>
    <row r="155" spans="4:43" ht="14.25" customHeight="1" x14ac:dyDescent="0.35">
      <c r="D155" s="63"/>
      <c r="F155" s="64"/>
      <c r="G155" s="65"/>
      <c r="H155" s="64"/>
      <c r="I155" s="64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</row>
    <row r="156" spans="4:43" ht="14.25" customHeight="1" x14ac:dyDescent="0.35">
      <c r="D156" s="63"/>
      <c r="F156" s="64"/>
      <c r="G156" s="65"/>
      <c r="H156" s="64"/>
      <c r="I156" s="64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</row>
    <row r="157" spans="4:43" ht="14.25" customHeight="1" x14ac:dyDescent="0.35">
      <c r="D157" s="63"/>
      <c r="F157" s="64"/>
      <c r="G157" s="65"/>
      <c r="H157" s="64"/>
      <c r="I157" s="64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</row>
    <row r="158" spans="4:43" ht="14.25" customHeight="1" x14ac:dyDescent="0.35">
      <c r="D158" s="63"/>
      <c r="F158" s="64"/>
      <c r="G158" s="65"/>
      <c r="H158" s="64"/>
      <c r="I158" s="64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</row>
    <row r="159" spans="4:43" ht="14.25" customHeight="1" x14ac:dyDescent="0.35">
      <c r="D159" s="63"/>
      <c r="F159" s="64"/>
      <c r="G159" s="65"/>
      <c r="H159" s="64"/>
      <c r="I159" s="64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</row>
    <row r="160" spans="4:43" ht="14.25" customHeight="1" x14ac:dyDescent="0.35">
      <c r="D160" s="63"/>
      <c r="F160" s="64"/>
      <c r="G160" s="65"/>
      <c r="H160" s="64"/>
      <c r="I160" s="64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</row>
    <row r="161" spans="4:43" ht="14.25" customHeight="1" x14ac:dyDescent="0.35">
      <c r="D161" s="63"/>
      <c r="F161" s="64"/>
      <c r="G161" s="65"/>
      <c r="H161" s="64"/>
      <c r="I161" s="64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</row>
    <row r="162" spans="4:43" ht="14.25" customHeight="1" x14ac:dyDescent="0.35">
      <c r="D162" s="63"/>
      <c r="F162" s="64"/>
      <c r="G162" s="65"/>
      <c r="H162" s="64"/>
      <c r="I162" s="64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</row>
    <row r="163" spans="4:43" ht="14.25" customHeight="1" x14ac:dyDescent="0.35">
      <c r="D163" s="63"/>
      <c r="F163" s="64"/>
      <c r="G163" s="65"/>
      <c r="H163" s="64"/>
      <c r="I163" s="64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</row>
    <row r="164" spans="4:43" ht="14.25" customHeight="1" x14ac:dyDescent="0.35">
      <c r="D164" s="63"/>
      <c r="F164" s="64"/>
      <c r="G164" s="65"/>
      <c r="H164" s="64"/>
      <c r="I164" s="64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</row>
    <row r="165" spans="4:43" ht="14.25" customHeight="1" x14ac:dyDescent="0.35">
      <c r="D165" s="63"/>
      <c r="F165" s="64"/>
      <c r="G165" s="65"/>
      <c r="H165" s="64"/>
      <c r="I165" s="64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</row>
    <row r="166" spans="4:43" ht="14.25" customHeight="1" x14ac:dyDescent="0.35">
      <c r="D166" s="63"/>
      <c r="F166" s="64"/>
      <c r="G166" s="65"/>
      <c r="H166" s="64"/>
      <c r="I166" s="64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</row>
    <row r="167" spans="4:43" ht="14.25" customHeight="1" x14ac:dyDescent="0.35">
      <c r="D167" s="63"/>
      <c r="F167" s="64"/>
      <c r="G167" s="65"/>
      <c r="H167" s="64"/>
      <c r="I167" s="64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</row>
    <row r="168" spans="4:43" ht="14.25" customHeight="1" x14ac:dyDescent="0.35">
      <c r="D168" s="63"/>
      <c r="F168" s="64"/>
      <c r="G168" s="65"/>
      <c r="H168" s="64"/>
      <c r="I168" s="64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</row>
    <row r="169" spans="4:43" ht="14.25" customHeight="1" x14ac:dyDescent="0.35">
      <c r="D169" s="63"/>
      <c r="F169" s="64"/>
      <c r="G169" s="65"/>
      <c r="H169" s="64"/>
      <c r="I169" s="64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</row>
    <row r="170" spans="4:43" ht="14.25" customHeight="1" x14ac:dyDescent="0.35">
      <c r="D170" s="63"/>
      <c r="F170" s="64"/>
      <c r="G170" s="65"/>
      <c r="H170" s="64"/>
      <c r="I170" s="64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</row>
    <row r="171" spans="4:43" ht="14.25" customHeight="1" x14ac:dyDescent="0.35">
      <c r="D171" s="63"/>
      <c r="F171" s="64"/>
      <c r="G171" s="65"/>
      <c r="H171" s="64"/>
      <c r="I171" s="64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</row>
    <row r="172" spans="4:43" ht="14.25" customHeight="1" x14ac:dyDescent="0.35">
      <c r="D172" s="63"/>
      <c r="F172" s="64"/>
      <c r="G172" s="65"/>
      <c r="H172" s="64"/>
      <c r="I172" s="64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</row>
    <row r="173" spans="4:43" ht="14.25" customHeight="1" x14ac:dyDescent="0.35">
      <c r="D173" s="63"/>
      <c r="F173" s="64"/>
      <c r="G173" s="65"/>
      <c r="H173" s="64"/>
      <c r="I173" s="64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</row>
    <row r="174" spans="4:43" ht="14.25" customHeight="1" x14ac:dyDescent="0.35">
      <c r="D174" s="63"/>
      <c r="F174" s="64"/>
      <c r="G174" s="65"/>
      <c r="H174" s="64"/>
      <c r="I174" s="64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</row>
    <row r="175" spans="4:43" ht="14.25" customHeight="1" x14ac:dyDescent="0.35">
      <c r="D175" s="63"/>
      <c r="F175" s="64"/>
      <c r="G175" s="65"/>
      <c r="H175" s="64"/>
      <c r="I175" s="64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</row>
    <row r="176" spans="4:43" ht="14.25" customHeight="1" x14ac:dyDescent="0.35">
      <c r="D176" s="63"/>
      <c r="F176" s="64"/>
      <c r="G176" s="65"/>
      <c r="H176" s="64"/>
      <c r="I176" s="64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</row>
    <row r="177" spans="4:43" ht="14.25" customHeight="1" x14ac:dyDescent="0.35">
      <c r="D177" s="63"/>
      <c r="F177" s="64"/>
      <c r="G177" s="65"/>
      <c r="H177" s="64"/>
      <c r="I177" s="64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</row>
    <row r="178" spans="4:43" ht="14.25" customHeight="1" x14ac:dyDescent="0.35">
      <c r="D178" s="63"/>
      <c r="F178" s="64"/>
      <c r="G178" s="65"/>
      <c r="H178" s="64"/>
      <c r="I178" s="64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</row>
    <row r="179" spans="4:43" ht="14.25" customHeight="1" x14ac:dyDescent="0.35">
      <c r="D179" s="63"/>
      <c r="F179" s="64"/>
      <c r="G179" s="65"/>
      <c r="H179" s="64"/>
      <c r="I179" s="64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</row>
    <row r="180" spans="4:43" ht="14.25" customHeight="1" x14ac:dyDescent="0.35">
      <c r="D180" s="63"/>
      <c r="F180" s="64"/>
      <c r="G180" s="65"/>
      <c r="H180" s="64"/>
      <c r="I180" s="64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</row>
    <row r="181" spans="4:43" ht="14.25" customHeight="1" x14ac:dyDescent="0.35">
      <c r="D181" s="63"/>
      <c r="F181" s="64"/>
      <c r="G181" s="65"/>
      <c r="H181" s="64"/>
      <c r="I181" s="64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</row>
    <row r="182" spans="4:43" ht="14.25" customHeight="1" x14ac:dyDescent="0.35">
      <c r="D182" s="63"/>
      <c r="F182" s="64"/>
      <c r="G182" s="65"/>
      <c r="H182" s="64"/>
      <c r="I182" s="64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</row>
    <row r="183" spans="4:43" ht="14.25" customHeight="1" x14ac:dyDescent="0.35">
      <c r="D183" s="63"/>
      <c r="F183" s="64"/>
      <c r="G183" s="65"/>
      <c r="H183" s="64"/>
      <c r="I183" s="64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</row>
    <row r="184" spans="4:43" ht="14.25" customHeight="1" x14ac:dyDescent="0.35">
      <c r="D184" s="63"/>
      <c r="F184" s="64"/>
      <c r="G184" s="65"/>
      <c r="H184" s="64"/>
      <c r="I184" s="64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</row>
    <row r="185" spans="4:43" ht="14.25" customHeight="1" x14ac:dyDescent="0.35">
      <c r="D185" s="63"/>
      <c r="F185" s="64"/>
      <c r="G185" s="65"/>
      <c r="H185" s="64"/>
      <c r="I185" s="64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</row>
    <row r="186" spans="4:43" ht="14.25" customHeight="1" x14ac:dyDescent="0.35">
      <c r="D186" s="63"/>
      <c r="F186" s="64"/>
      <c r="G186" s="65"/>
      <c r="H186" s="64"/>
      <c r="I186" s="64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</row>
    <row r="187" spans="4:43" ht="14.25" customHeight="1" x14ac:dyDescent="0.35">
      <c r="D187" s="63"/>
      <c r="F187" s="64"/>
      <c r="G187" s="65"/>
      <c r="H187" s="64"/>
      <c r="I187" s="64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</row>
    <row r="188" spans="4:43" ht="14.25" customHeight="1" x14ac:dyDescent="0.35">
      <c r="D188" s="63"/>
      <c r="F188" s="64"/>
      <c r="G188" s="65"/>
      <c r="H188" s="64"/>
      <c r="I188" s="64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</row>
    <row r="189" spans="4:43" ht="14.25" customHeight="1" x14ac:dyDescent="0.35">
      <c r="D189" s="63"/>
      <c r="F189" s="64"/>
      <c r="G189" s="65"/>
      <c r="H189" s="64"/>
      <c r="I189" s="64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</row>
    <row r="190" spans="4:43" ht="14.25" customHeight="1" x14ac:dyDescent="0.35">
      <c r="D190" s="63"/>
      <c r="F190" s="64"/>
      <c r="G190" s="65"/>
      <c r="H190" s="64"/>
      <c r="I190" s="64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</row>
    <row r="191" spans="4:43" ht="14.25" customHeight="1" x14ac:dyDescent="0.35">
      <c r="D191" s="63"/>
      <c r="F191" s="64"/>
      <c r="G191" s="65"/>
      <c r="H191" s="64"/>
      <c r="I191" s="64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</row>
    <row r="192" spans="4:43" ht="14.25" customHeight="1" x14ac:dyDescent="0.35">
      <c r="D192" s="63"/>
      <c r="F192" s="64"/>
      <c r="G192" s="65"/>
      <c r="H192" s="64"/>
      <c r="I192" s="64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</row>
    <row r="193" spans="4:43" ht="14.25" customHeight="1" x14ac:dyDescent="0.35">
      <c r="D193" s="63"/>
      <c r="F193" s="64"/>
      <c r="G193" s="65"/>
      <c r="H193" s="64"/>
      <c r="I193" s="64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</row>
    <row r="194" spans="4:43" ht="14.25" customHeight="1" x14ac:dyDescent="0.35">
      <c r="D194" s="63"/>
      <c r="F194" s="64"/>
      <c r="G194" s="65"/>
      <c r="H194" s="64"/>
      <c r="I194" s="64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</row>
    <row r="195" spans="4:43" ht="14.25" customHeight="1" x14ac:dyDescent="0.35">
      <c r="D195" s="63"/>
      <c r="F195" s="64"/>
      <c r="G195" s="65"/>
      <c r="H195" s="64"/>
      <c r="I195" s="64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</row>
    <row r="196" spans="4:43" ht="14.25" customHeight="1" x14ac:dyDescent="0.35">
      <c r="D196" s="63"/>
      <c r="F196" s="64"/>
      <c r="G196" s="65"/>
      <c r="H196" s="64"/>
      <c r="I196" s="64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</row>
    <row r="197" spans="4:43" ht="14.25" customHeight="1" x14ac:dyDescent="0.35">
      <c r="D197" s="63"/>
      <c r="F197" s="64"/>
      <c r="G197" s="65"/>
      <c r="H197" s="64"/>
      <c r="I197" s="64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</row>
    <row r="198" spans="4:43" ht="14.25" customHeight="1" x14ac:dyDescent="0.35">
      <c r="D198" s="63"/>
      <c r="F198" s="64"/>
      <c r="G198" s="65"/>
      <c r="H198" s="64"/>
      <c r="I198" s="64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</row>
    <row r="199" spans="4:43" ht="14.25" customHeight="1" x14ac:dyDescent="0.35">
      <c r="D199" s="63"/>
      <c r="F199" s="64"/>
      <c r="G199" s="65"/>
      <c r="H199" s="64"/>
      <c r="I199" s="64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</row>
    <row r="200" spans="4:43" ht="14.25" customHeight="1" x14ac:dyDescent="0.35">
      <c r="D200" s="63"/>
      <c r="F200" s="64"/>
      <c r="G200" s="65"/>
      <c r="H200" s="64"/>
      <c r="I200" s="64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</row>
    <row r="201" spans="4:43" ht="14.25" customHeight="1" x14ac:dyDescent="0.35">
      <c r="D201" s="63"/>
      <c r="F201" s="64"/>
      <c r="G201" s="65"/>
      <c r="H201" s="64"/>
      <c r="I201" s="64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</row>
    <row r="202" spans="4:43" ht="14.25" customHeight="1" x14ac:dyDescent="0.35">
      <c r="D202" s="63"/>
      <c r="F202" s="64"/>
      <c r="G202" s="65"/>
      <c r="H202" s="64"/>
      <c r="I202" s="64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</row>
    <row r="203" spans="4:43" ht="14.25" customHeight="1" x14ac:dyDescent="0.35">
      <c r="D203" s="63"/>
      <c r="F203" s="64"/>
      <c r="G203" s="65"/>
      <c r="H203" s="64"/>
      <c r="I203" s="64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</row>
    <row r="204" spans="4:43" ht="14.25" customHeight="1" x14ac:dyDescent="0.35">
      <c r="D204" s="63"/>
      <c r="F204" s="64"/>
      <c r="G204" s="65"/>
      <c r="H204" s="64"/>
      <c r="I204" s="64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</row>
    <row r="205" spans="4:43" ht="14.25" customHeight="1" x14ac:dyDescent="0.35">
      <c r="D205" s="63"/>
      <c r="F205" s="64"/>
      <c r="G205" s="65"/>
      <c r="H205" s="64"/>
      <c r="I205" s="64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</row>
    <row r="206" spans="4:43" ht="14.25" customHeight="1" x14ac:dyDescent="0.35">
      <c r="D206" s="63"/>
      <c r="F206" s="64"/>
      <c r="G206" s="65"/>
      <c r="H206" s="64"/>
      <c r="I206" s="64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</row>
    <row r="207" spans="4:43" ht="14.25" customHeight="1" x14ac:dyDescent="0.35">
      <c r="D207" s="63"/>
      <c r="F207" s="64"/>
      <c r="G207" s="65"/>
      <c r="H207" s="64"/>
      <c r="I207" s="64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</row>
    <row r="208" spans="4:43" ht="14.25" customHeight="1" x14ac:dyDescent="0.35">
      <c r="D208" s="63"/>
      <c r="F208" s="64"/>
      <c r="G208" s="65"/>
      <c r="H208" s="64"/>
      <c r="I208" s="64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</row>
    <row r="209" spans="4:43" ht="14.25" customHeight="1" x14ac:dyDescent="0.35">
      <c r="D209" s="63"/>
      <c r="F209" s="64"/>
      <c r="G209" s="65"/>
      <c r="H209" s="64"/>
      <c r="I209" s="64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</row>
    <row r="210" spans="4:43" ht="14.25" customHeight="1" x14ac:dyDescent="0.35">
      <c r="D210" s="63"/>
      <c r="F210" s="64"/>
      <c r="G210" s="65"/>
      <c r="H210" s="64"/>
      <c r="I210" s="64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</row>
    <row r="211" spans="4:43" ht="14.25" customHeight="1" x14ac:dyDescent="0.35">
      <c r="D211" s="63"/>
      <c r="F211" s="64"/>
      <c r="G211" s="65"/>
      <c r="H211" s="64"/>
      <c r="I211" s="64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</row>
    <row r="212" spans="4:43" ht="14.25" customHeight="1" x14ac:dyDescent="0.35">
      <c r="D212" s="63"/>
      <c r="F212" s="64"/>
      <c r="G212" s="65"/>
      <c r="H212" s="64"/>
      <c r="I212" s="64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</row>
    <row r="213" spans="4:43" ht="14.25" customHeight="1" x14ac:dyDescent="0.35">
      <c r="D213" s="63"/>
      <c r="F213" s="64"/>
      <c r="G213" s="65"/>
      <c r="H213" s="64"/>
      <c r="I213" s="64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</row>
    <row r="214" spans="4:43" ht="14.25" customHeight="1" x14ac:dyDescent="0.35">
      <c r="D214" s="63"/>
      <c r="F214" s="64"/>
      <c r="G214" s="65"/>
      <c r="H214" s="64"/>
      <c r="I214" s="64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</row>
    <row r="215" spans="4:43" ht="14.25" customHeight="1" x14ac:dyDescent="0.35">
      <c r="D215" s="63"/>
      <c r="F215" s="64"/>
      <c r="G215" s="65"/>
      <c r="H215" s="64"/>
      <c r="I215" s="64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</row>
    <row r="216" spans="4:43" ht="14.25" customHeight="1" x14ac:dyDescent="0.35">
      <c r="D216" s="63"/>
      <c r="F216" s="64"/>
      <c r="G216" s="65"/>
      <c r="H216" s="64"/>
      <c r="I216" s="64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</row>
    <row r="217" spans="4:43" ht="14.25" customHeight="1" x14ac:dyDescent="0.35">
      <c r="D217" s="63"/>
      <c r="F217" s="64"/>
      <c r="G217" s="65"/>
      <c r="H217" s="64"/>
      <c r="I217" s="64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</row>
    <row r="218" spans="4:43" ht="14.25" customHeight="1" x14ac:dyDescent="0.35">
      <c r="D218" s="63"/>
      <c r="F218" s="64"/>
      <c r="G218" s="65"/>
      <c r="H218" s="64"/>
      <c r="I218" s="64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</row>
    <row r="219" spans="4:43" ht="14.25" customHeight="1" x14ac:dyDescent="0.35">
      <c r="D219" s="63"/>
      <c r="F219" s="64"/>
      <c r="G219" s="65"/>
      <c r="H219" s="64"/>
      <c r="I219" s="64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</row>
    <row r="220" spans="4:43" ht="14.25" customHeight="1" x14ac:dyDescent="0.35">
      <c r="D220" s="63"/>
      <c r="F220" s="64"/>
      <c r="G220" s="65"/>
      <c r="H220" s="64"/>
      <c r="I220" s="64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</row>
    <row r="221" spans="4:43" ht="14.25" customHeight="1" x14ac:dyDescent="0.35">
      <c r="D221" s="63"/>
      <c r="F221" s="64"/>
      <c r="G221" s="65"/>
      <c r="H221" s="64"/>
      <c r="I221" s="64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</row>
    <row r="222" spans="4:43" ht="14.25" customHeight="1" x14ac:dyDescent="0.35">
      <c r="D222" s="63"/>
      <c r="F222" s="64"/>
      <c r="G222" s="65"/>
      <c r="H222" s="64"/>
      <c r="I222" s="64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</row>
    <row r="223" spans="4:43" ht="14.25" customHeight="1" x14ac:dyDescent="0.35">
      <c r="D223" s="63"/>
      <c r="F223" s="64"/>
      <c r="G223" s="65"/>
      <c r="H223" s="64"/>
      <c r="I223" s="64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</row>
    <row r="224" spans="4:43" ht="14.25" customHeight="1" x14ac:dyDescent="0.35">
      <c r="D224" s="63"/>
      <c r="F224" s="64"/>
      <c r="G224" s="65"/>
      <c r="H224" s="64"/>
      <c r="I224" s="64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</row>
    <row r="225" spans="4:43" ht="14.25" customHeight="1" x14ac:dyDescent="0.35">
      <c r="D225" s="63"/>
      <c r="F225" s="64"/>
      <c r="G225" s="65"/>
      <c r="H225" s="64"/>
      <c r="I225" s="64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</row>
    <row r="226" spans="4:43" ht="14.25" customHeight="1" x14ac:dyDescent="0.35">
      <c r="D226" s="63"/>
      <c r="F226" s="64"/>
      <c r="G226" s="65"/>
      <c r="H226" s="64"/>
      <c r="I226" s="64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</row>
    <row r="227" spans="4:43" ht="14.25" customHeight="1" x14ac:dyDescent="0.35">
      <c r="D227" s="63"/>
      <c r="F227" s="64"/>
      <c r="G227" s="65"/>
      <c r="H227" s="64"/>
      <c r="I227" s="64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</row>
    <row r="228" spans="4:43" ht="14.25" customHeight="1" x14ac:dyDescent="0.35">
      <c r="D228" s="63"/>
      <c r="F228" s="64"/>
      <c r="G228" s="65"/>
      <c r="H228" s="64"/>
      <c r="I228" s="64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</row>
    <row r="229" spans="4:43" ht="14.25" customHeight="1" x14ac:dyDescent="0.35">
      <c r="D229" s="63"/>
      <c r="F229" s="64"/>
      <c r="G229" s="65"/>
      <c r="H229" s="64"/>
      <c r="I229" s="64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</row>
    <row r="230" spans="4:43" ht="14.25" customHeight="1" x14ac:dyDescent="0.35">
      <c r="D230" s="63"/>
      <c r="F230" s="64"/>
      <c r="G230" s="65"/>
      <c r="H230" s="64"/>
      <c r="I230" s="64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</row>
    <row r="231" spans="4:43" ht="14.25" customHeight="1" x14ac:dyDescent="0.35">
      <c r="D231" s="63"/>
      <c r="F231" s="64"/>
      <c r="G231" s="65"/>
      <c r="H231" s="64"/>
      <c r="I231" s="64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</row>
    <row r="232" spans="4:43" ht="14.25" customHeight="1" x14ac:dyDescent="0.35">
      <c r="D232" s="63"/>
      <c r="F232" s="64"/>
      <c r="G232" s="65"/>
      <c r="H232" s="64"/>
      <c r="I232" s="64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</row>
    <row r="233" spans="4:43" ht="14.25" customHeight="1" x14ac:dyDescent="0.35">
      <c r="D233" s="63"/>
      <c r="F233" s="64"/>
      <c r="G233" s="65"/>
      <c r="H233" s="64"/>
      <c r="I233" s="64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</row>
    <row r="234" spans="4:43" ht="14.25" customHeight="1" x14ac:dyDescent="0.35">
      <c r="D234" s="63"/>
      <c r="F234" s="64"/>
      <c r="G234" s="65"/>
      <c r="H234" s="64"/>
      <c r="I234" s="64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</row>
    <row r="235" spans="4:43" ht="14.25" customHeight="1" x14ac:dyDescent="0.35">
      <c r="D235" s="63"/>
      <c r="F235" s="64"/>
      <c r="G235" s="65"/>
      <c r="H235" s="64"/>
      <c r="I235" s="64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</row>
    <row r="236" spans="4:43" ht="14.25" customHeight="1" x14ac:dyDescent="0.35">
      <c r="D236" s="63"/>
      <c r="F236" s="64"/>
      <c r="G236" s="65"/>
      <c r="H236" s="64"/>
      <c r="I236" s="64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</row>
    <row r="237" spans="4:43" ht="14.25" customHeight="1" x14ac:dyDescent="0.35">
      <c r="D237" s="63"/>
      <c r="F237" s="64"/>
      <c r="G237" s="65"/>
      <c r="H237" s="64"/>
      <c r="I237" s="64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</row>
    <row r="238" spans="4:43" ht="14.25" customHeight="1" x14ac:dyDescent="0.35">
      <c r="D238" s="63"/>
      <c r="F238" s="64"/>
      <c r="G238" s="65"/>
      <c r="H238" s="64"/>
      <c r="I238" s="64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</row>
    <row r="239" spans="4:43" ht="14.25" customHeight="1" x14ac:dyDescent="0.35">
      <c r="D239" s="63"/>
      <c r="F239" s="64"/>
      <c r="G239" s="65"/>
      <c r="H239" s="64"/>
      <c r="I239" s="64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</row>
    <row r="240" spans="4:43" ht="14.25" customHeight="1" x14ac:dyDescent="0.35">
      <c r="D240" s="63"/>
      <c r="F240" s="64"/>
      <c r="G240" s="65"/>
      <c r="H240" s="64"/>
      <c r="I240" s="64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</row>
    <row r="241" spans="4:43" ht="14.25" customHeight="1" x14ac:dyDescent="0.35">
      <c r="D241" s="63"/>
      <c r="F241" s="64"/>
      <c r="G241" s="65"/>
      <c r="H241" s="64"/>
      <c r="I241" s="64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</row>
    <row r="242" spans="4:43" ht="14.25" customHeight="1" x14ac:dyDescent="0.35">
      <c r="D242" s="63"/>
      <c r="F242" s="64"/>
      <c r="G242" s="65"/>
      <c r="H242" s="64"/>
      <c r="I242" s="64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</row>
    <row r="243" spans="4:43" ht="14.25" customHeight="1" x14ac:dyDescent="0.35">
      <c r="D243" s="63"/>
      <c r="F243" s="64"/>
      <c r="G243" s="65"/>
      <c r="H243" s="64"/>
      <c r="I243" s="64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</row>
    <row r="244" spans="4:43" ht="14.25" customHeight="1" x14ac:dyDescent="0.35">
      <c r="D244" s="63"/>
      <c r="F244" s="64"/>
      <c r="G244" s="65"/>
      <c r="H244" s="64"/>
      <c r="I244" s="64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</row>
    <row r="245" spans="4:43" ht="14.25" customHeight="1" x14ac:dyDescent="0.35">
      <c r="D245" s="63"/>
      <c r="F245" s="64"/>
      <c r="G245" s="65"/>
      <c r="H245" s="64"/>
      <c r="I245" s="64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</row>
    <row r="246" spans="4:43" ht="14.25" customHeight="1" x14ac:dyDescent="0.35">
      <c r="D246" s="63"/>
      <c r="F246" s="64"/>
      <c r="G246" s="65"/>
      <c r="H246" s="64"/>
      <c r="I246" s="64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</row>
    <row r="247" spans="4:43" ht="14.25" customHeight="1" x14ac:dyDescent="0.35">
      <c r="D247" s="63"/>
      <c r="F247" s="64"/>
      <c r="G247" s="65"/>
      <c r="H247" s="64"/>
      <c r="I247" s="64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</row>
    <row r="248" spans="4:43" ht="14.25" customHeight="1" x14ac:dyDescent="0.35">
      <c r="D248" s="63"/>
      <c r="F248" s="64"/>
      <c r="G248" s="65"/>
      <c r="H248" s="64"/>
      <c r="I248" s="64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</row>
    <row r="249" spans="4:43" ht="14.25" customHeight="1" x14ac:dyDescent="0.35">
      <c r="D249" s="63"/>
      <c r="F249" s="64"/>
      <c r="G249" s="65"/>
      <c r="H249" s="64"/>
      <c r="I249" s="64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</row>
    <row r="250" spans="4:43" ht="14.25" customHeight="1" x14ac:dyDescent="0.35">
      <c r="D250" s="63"/>
      <c r="F250" s="64"/>
      <c r="G250" s="65"/>
      <c r="H250" s="64"/>
      <c r="I250" s="64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</row>
    <row r="251" spans="4:43" ht="14.25" customHeight="1" x14ac:dyDescent="0.35">
      <c r="D251" s="63"/>
      <c r="F251" s="64"/>
      <c r="G251" s="65"/>
      <c r="H251" s="64"/>
      <c r="I251" s="64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</row>
    <row r="252" spans="4:43" ht="14.25" customHeight="1" x14ac:dyDescent="0.35">
      <c r="D252" s="63"/>
      <c r="F252" s="64"/>
      <c r="G252" s="65"/>
      <c r="H252" s="64"/>
      <c r="I252" s="64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</row>
    <row r="253" spans="4:43" ht="14.25" customHeight="1" x14ac:dyDescent="0.35">
      <c r="D253" s="63"/>
      <c r="F253" s="64"/>
      <c r="G253" s="65"/>
      <c r="H253" s="64"/>
      <c r="I253" s="64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</row>
    <row r="254" spans="4:43" ht="14.25" customHeight="1" x14ac:dyDescent="0.35">
      <c r="D254" s="63"/>
      <c r="F254" s="64"/>
      <c r="G254" s="65"/>
      <c r="H254" s="64"/>
      <c r="I254" s="64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</row>
    <row r="255" spans="4:43" ht="14.25" customHeight="1" x14ac:dyDescent="0.35">
      <c r="D255" s="63"/>
      <c r="F255" s="64"/>
      <c r="G255" s="65"/>
      <c r="H255" s="64"/>
      <c r="I255" s="64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</row>
    <row r="256" spans="4:43" ht="14.25" customHeight="1" x14ac:dyDescent="0.35">
      <c r="D256" s="63"/>
      <c r="F256" s="64"/>
      <c r="G256" s="65"/>
      <c r="H256" s="64"/>
      <c r="I256" s="64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</row>
    <row r="257" spans="4:43" ht="14.25" customHeight="1" x14ac:dyDescent="0.35">
      <c r="D257" s="63"/>
      <c r="F257" s="64"/>
      <c r="G257" s="65"/>
      <c r="H257" s="64"/>
      <c r="I257" s="64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</row>
    <row r="258" spans="4:43" ht="14.25" customHeight="1" x14ac:dyDescent="0.35">
      <c r="D258" s="63"/>
      <c r="F258" s="64"/>
      <c r="G258" s="65"/>
      <c r="H258" s="64"/>
      <c r="I258" s="64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</row>
    <row r="259" spans="4:43" ht="14.25" customHeight="1" x14ac:dyDescent="0.35">
      <c r="D259" s="63"/>
      <c r="F259" s="64"/>
      <c r="G259" s="65"/>
      <c r="H259" s="64"/>
      <c r="I259" s="64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</row>
    <row r="260" spans="4:43" ht="14.25" customHeight="1" x14ac:dyDescent="0.35">
      <c r="D260" s="63"/>
      <c r="F260" s="64"/>
      <c r="G260" s="65"/>
      <c r="H260" s="64"/>
      <c r="I260" s="64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</row>
    <row r="261" spans="4:43" ht="14.25" customHeight="1" x14ac:dyDescent="0.35">
      <c r="D261" s="63"/>
      <c r="F261" s="64"/>
      <c r="G261" s="65"/>
      <c r="H261" s="64"/>
      <c r="I261" s="64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</row>
    <row r="262" spans="4:43" ht="14.25" customHeight="1" x14ac:dyDescent="0.35">
      <c r="D262" s="63"/>
      <c r="F262" s="64"/>
      <c r="G262" s="65"/>
      <c r="H262" s="64"/>
      <c r="I262" s="64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</row>
    <row r="263" spans="4:43" ht="14.25" customHeight="1" x14ac:dyDescent="0.35">
      <c r="D263" s="63"/>
      <c r="F263" s="64"/>
      <c r="G263" s="65"/>
      <c r="H263" s="64"/>
      <c r="I263" s="64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</row>
    <row r="264" spans="4:43" ht="14.25" customHeight="1" x14ac:dyDescent="0.35">
      <c r="D264" s="63"/>
      <c r="F264" s="64"/>
      <c r="G264" s="65"/>
      <c r="H264" s="64"/>
      <c r="I264" s="64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</row>
    <row r="265" spans="4:43" ht="14.25" customHeight="1" x14ac:dyDescent="0.35">
      <c r="D265" s="63"/>
      <c r="F265" s="64"/>
      <c r="G265" s="65"/>
      <c r="H265" s="64"/>
      <c r="I265" s="64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</row>
    <row r="266" spans="4:43" ht="14.25" customHeight="1" x14ac:dyDescent="0.35">
      <c r="D266" s="63"/>
      <c r="F266" s="64"/>
      <c r="G266" s="65"/>
      <c r="H266" s="64"/>
      <c r="I266" s="64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</row>
    <row r="267" spans="4:43" ht="14.25" customHeight="1" x14ac:dyDescent="0.35">
      <c r="D267" s="63"/>
      <c r="F267" s="64"/>
      <c r="G267" s="65"/>
      <c r="H267" s="64"/>
      <c r="I267" s="64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</row>
    <row r="268" spans="4:43" ht="14.25" customHeight="1" x14ac:dyDescent="0.35">
      <c r="D268" s="63"/>
      <c r="F268" s="64"/>
      <c r="G268" s="65"/>
      <c r="H268" s="64"/>
      <c r="I268" s="64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</row>
    <row r="269" spans="4:43" ht="14.25" customHeight="1" x14ac:dyDescent="0.35">
      <c r="D269" s="63"/>
      <c r="F269" s="64"/>
      <c r="G269" s="65"/>
      <c r="H269" s="64"/>
      <c r="I269" s="64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</row>
    <row r="270" spans="4:43" ht="14.25" customHeight="1" x14ac:dyDescent="0.35">
      <c r="D270" s="63"/>
      <c r="F270" s="64"/>
      <c r="G270" s="65"/>
      <c r="H270" s="64"/>
      <c r="I270" s="64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</row>
    <row r="271" spans="4:43" ht="14.25" customHeight="1" x14ac:dyDescent="0.35">
      <c r="D271" s="63"/>
      <c r="F271" s="64"/>
      <c r="G271" s="65"/>
      <c r="H271" s="64"/>
      <c r="I271" s="64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</row>
    <row r="272" spans="4:43" ht="14.25" customHeight="1" x14ac:dyDescent="0.35">
      <c r="D272" s="63"/>
      <c r="F272" s="64"/>
      <c r="G272" s="65"/>
      <c r="H272" s="64"/>
      <c r="I272" s="64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</row>
    <row r="273" spans="4:43" ht="14.25" customHeight="1" x14ac:dyDescent="0.35">
      <c r="D273" s="63"/>
      <c r="F273" s="64"/>
      <c r="G273" s="65"/>
      <c r="H273" s="64"/>
      <c r="I273" s="64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</row>
    <row r="274" spans="4:43" ht="14.25" customHeight="1" x14ac:dyDescent="0.35">
      <c r="D274" s="63"/>
      <c r="F274" s="64"/>
      <c r="G274" s="65"/>
      <c r="H274" s="64"/>
      <c r="I274" s="64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</row>
    <row r="275" spans="4:43" ht="14.25" customHeight="1" x14ac:dyDescent="0.35">
      <c r="D275" s="63"/>
      <c r="F275" s="64"/>
      <c r="G275" s="65"/>
      <c r="H275" s="64"/>
      <c r="I275" s="64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</row>
    <row r="276" spans="4:43" ht="14.25" customHeight="1" x14ac:dyDescent="0.35">
      <c r="D276" s="63"/>
      <c r="F276" s="64"/>
      <c r="G276" s="65"/>
      <c r="H276" s="64"/>
      <c r="I276" s="64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</row>
    <row r="277" spans="4:43" ht="14.25" customHeight="1" x14ac:dyDescent="0.35">
      <c r="D277" s="63"/>
      <c r="F277" s="64"/>
      <c r="G277" s="65"/>
      <c r="H277" s="64"/>
      <c r="I277" s="64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</row>
    <row r="278" spans="4:43" ht="14.25" customHeight="1" x14ac:dyDescent="0.35">
      <c r="D278" s="63"/>
      <c r="F278" s="64"/>
      <c r="G278" s="65"/>
      <c r="H278" s="64"/>
      <c r="I278" s="64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</row>
    <row r="279" spans="4:43" ht="14.25" customHeight="1" x14ac:dyDescent="0.35">
      <c r="D279" s="63"/>
      <c r="F279" s="64"/>
      <c r="G279" s="65"/>
      <c r="H279" s="64"/>
      <c r="I279" s="64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</row>
    <row r="280" spans="4:43" ht="14.25" customHeight="1" x14ac:dyDescent="0.35">
      <c r="D280" s="63"/>
      <c r="F280" s="64"/>
      <c r="G280" s="65"/>
      <c r="H280" s="64"/>
      <c r="I280" s="64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</row>
    <row r="281" spans="4:43" ht="14.25" customHeight="1" x14ac:dyDescent="0.35">
      <c r="D281" s="63"/>
      <c r="F281" s="64"/>
      <c r="G281" s="65"/>
      <c r="H281" s="64"/>
      <c r="I281" s="64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</row>
    <row r="282" spans="4:43" ht="14.25" customHeight="1" x14ac:dyDescent="0.35">
      <c r="D282" s="63"/>
      <c r="F282" s="64"/>
      <c r="G282" s="65"/>
      <c r="H282" s="64"/>
      <c r="I282" s="64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</row>
    <row r="283" spans="4:43" ht="14.25" customHeight="1" x14ac:dyDescent="0.35">
      <c r="D283" s="63"/>
      <c r="F283" s="64"/>
      <c r="G283" s="65"/>
      <c r="H283" s="64"/>
      <c r="I283" s="64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</row>
    <row r="284" spans="4:43" ht="14.25" customHeight="1" x14ac:dyDescent="0.35">
      <c r="D284" s="63"/>
      <c r="F284" s="64"/>
      <c r="G284" s="65"/>
      <c r="H284" s="64"/>
      <c r="I284" s="64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</row>
    <row r="285" spans="4:43" ht="14.25" customHeight="1" x14ac:dyDescent="0.35">
      <c r="D285" s="63"/>
      <c r="F285" s="64"/>
      <c r="G285" s="65"/>
      <c r="H285" s="64"/>
      <c r="I285" s="64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</row>
    <row r="286" spans="4:43" ht="14.25" customHeight="1" x14ac:dyDescent="0.35">
      <c r="D286" s="63"/>
      <c r="F286" s="64"/>
      <c r="G286" s="65"/>
      <c r="H286" s="64"/>
      <c r="I286" s="64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</row>
    <row r="287" spans="4:43" ht="14.25" customHeight="1" x14ac:dyDescent="0.35">
      <c r="D287" s="63"/>
      <c r="F287" s="64"/>
      <c r="G287" s="65"/>
      <c r="H287" s="64"/>
      <c r="I287" s="64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</row>
    <row r="288" spans="4:43" ht="14.25" customHeight="1" x14ac:dyDescent="0.35">
      <c r="D288" s="63"/>
      <c r="F288" s="64"/>
      <c r="G288" s="65"/>
      <c r="H288" s="64"/>
      <c r="I288" s="64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</row>
    <row r="289" spans="4:43" ht="14.25" customHeight="1" x14ac:dyDescent="0.35">
      <c r="D289" s="63"/>
      <c r="F289" s="64"/>
      <c r="G289" s="65"/>
      <c r="H289" s="64"/>
      <c r="I289" s="64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</row>
    <row r="290" spans="4:43" ht="14.25" customHeight="1" x14ac:dyDescent="0.35">
      <c r="D290" s="63"/>
      <c r="F290" s="64"/>
      <c r="G290" s="65"/>
      <c r="H290" s="64"/>
      <c r="I290" s="64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</row>
    <row r="291" spans="4:43" ht="14.25" customHeight="1" x14ac:dyDescent="0.35">
      <c r="D291" s="63"/>
      <c r="F291" s="64"/>
      <c r="G291" s="65"/>
      <c r="H291" s="64"/>
      <c r="I291" s="64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</row>
    <row r="292" spans="4:43" ht="14.25" customHeight="1" x14ac:dyDescent="0.35">
      <c r="D292" s="63"/>
      <c r="F292" s="64"/>
      <c r="G292" s="65"/>
      <c r="H292" s="64"/>
      <c r="I292" s="64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</row>
    <row r="293" spans="4:43" ht="14.25" customHeight="1" x14ac:dyDescent="0.35">
      <c r="D293" s="63"/>
      <c r="F293" s="64"/>
      <c r="G293" s="65"/>
      <c r="H293" s="64"/>
      <c r="I293" s="64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</row>
    <row r="294" spans="4:43" ht="14.25" customHeight="1" x14ac:dyDescent="0.35">
      <c r="D294" s="63"/>
      <c r="F294" s="64"/>
      <c r="G294" s="65"/>
      <c r="H294" s="64"/>
      <c r="I294" s="64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</row>
    <row r="295" spans="4:43" ht="14.25" customHeight="1" x14ac:dyDescent="0.35">
      <c r="D295" s="63"/>
      <c r="F295" s="64"/>
      <c r="G295" s="65"/>
      <c r="H295" s="64"/>
      <c r="I295" s="64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</row>
    <row r="296" spans="4:43" ht="14.25" customHeight="1" x14ac:dyDescent="0.35">
      <c r="D296" s="63"/>
      <c r="F296" s="64"/>
      <c r="G296" s="65"/>
      <c r="H296" s="64"/>
      <c r="I296" s="64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</row>
    <row r="297" spans="4:43" ht="14.25" customHeight="1" x14ac:dyDescent="0.35">
      <c r="D297" s="63"/>
      <c r="F297" s="64"/>
      <c r="G297" s="65"/>
      <c r="H297" s="64"/>
      <c r="I297" s="64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</row>
    <row r="298" spans="4:43" ht="14.25" customHeight="1" x14ac:dyDescent="0.35">
      <c r="D298" s="63"/>
      <c r="F298" s="64"/>
      <c r="G298" s="65"/>
      <c r="H298" s="64"/>
      <c r="I298" s="64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</row>
    <row r="299" spans="4:43" ht="14.25" customHeight="1" x14ac:dyDescent="0.35">
      <c r="D299" s="63"/>
      <c r="F299" s="64"/>
      <c r="G299" s="65"/>
      <c r="H299" s="64"/>
      <c r="I299" s="64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</row>
    <row r="300" spans="4:43" ht="14.25" customHeight="1" x14ac:dyDescent="0.35">
      <c r="D300" s="63"/>
      <c r="F300" s="64"/>
      <c r="G300" s="65"/>
      <c r="H300" s="64"/>
      <c r="I300" s="64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</row>
    <row r="301" spans="4:43" ht="14.25" customHeight="1" x14ac:dyDescent="0.35">
      <c r="D301" s="63"/>
      <c r="F301" s="64"/>
      <c r="G301" s="65"/>
      <c r="H301" s="64"/>
      <c r="I301" s="64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</row>
    <row r="302" spans="4:43" ht="14.25" customHeight="1" x14ac:dyDescent="0.35">
      <c r="D302" s="63"/>
      <c r="F302" s="64"/>
      <c r="G302" s="65"/>
      <c r="H302" s="64"/>
      <c r="I302" s="64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</row>
    <row r="303" spans="4:43" ht="14.25" customHeight="1" x14ac:dyDescent="0.35">
      <c r="D303" s="63"/>
      <c r="F303" s="64"/>
      <c r="G303" s="65"/>
      <c r="H303" s="64"/>
      <c r="I303" s="64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</row>
    <row r="304" spans="4:43" ht="14.25" customHeight="1" x14ac:dyDescent="0.35">
      <c r="D304" s="63"/>
      <c r="F304" s="64"/>
      <c r="G304" s="65"/>
      <c r="H304" s="64"/>
      <c r="I304" s="64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</row>
    <row r="305" spans="4:43" ht="14.25" customHeight="1" x14ac:dyDescent="0.35">
      <c r="D305" s="63"/>
      <c r="F305" s="64"/>
      <c r="G305" s="65"/>
      <c r="H305" s="64"/>
      <c r="I305" s="64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</row>
    <row r="306" spans="4:43" ht="14.25" customHeight="1" x14ac:dyDescent="0.35">
      <c r="D306" s="63"/>
      <c r="F306" s="64"/>
      <c r="G306" s="65"/>
      <c r="H306" s="64"/>
      <c r="I306" s="64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</row>
    <row r="307" spans="4:43" ht="14.25" customHeight="1" x14ac:dyDescent="0.35">
      <c r="D307" s="63"/>
      <c r="F307" s="64"/>
      <c r="G307" s="65"/>
      <c r="H307" s="64"/>
      <c r="I307" s="64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</row>
    <row r="308" spans="4:43" ht="14.25" customHeight="1" x14ac:dyDescent="0.35">
      <c r="D308" s="63"/>
      <c r="F308" s="64"/>
      <c r="G308" s="65"/>
      <c r="H308" s="64"/>
      <c r="I308" s="64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</row>
    <row r="309" spans="4:43" ht="14.25" customHeight="1" x14ac:dyDescent="0.35">
      <c r="D309" s="63"/>
      <c r="F309" s="64"/>
      <c r="G309" s="65"/>
      <c r="H309" s="64"/>
      <c r="I309" s="64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</row>
    <row r="310" spans="4:43" ht="14.25" customHeight="1" x14ac:dyDescent="0.35">
      <c r="D310" s="63"/>
      <c r="F310" s="64"/>
      <c r="G310" s="65"/>
      <c r="H310" s="64"/>
      <c r="I310" s="64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</row>
    <row r="311" spans="4:43" ht="14.25" customHeight="1" x14ac:dyDescent="0.35">
      <c r="D311" s="63"/>
      <c r="F311" s="64"/>
      <c r="G311" s="65"/>
      <c r="H311" s="64"/>
      <c r="I311" s="64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</row>
    <row r="312" spans="4:43" ht="14.25" customHeight="1" x14ac:dyDescent="0.35">
      <c r="D312" s="63"/>
      <c r="F312" s="64"/>
      <c r="G312" s="65"/>
      <c r="H312" s="64"/>
      <c r="I312" s="64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</row>
    <row r="313" spans="4:43" ht="14.25" customHeight="1" x14ac:dyDescent="0.35">
      <c r="D313" s="63"/>
      <c r="F313" s="64"/>
      <c r="G313" s="65"/>
      <c r="H313" s="64"/>
      <c r="I313" s="64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</row>
    <row r="314" spans="4:43" ht="14.25" customHeight="1" x14ac:dyDescent="0.35">
      <c r="D314" s="63"/>
      <c r="F314" s="64"/>
      <c r="G314" s="65"/>
      <c r="H314" s="64"/>
      <c r="I314" s="64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</row>
    <row r="315" spans="4:43" ht="14.25" customHeight="1" x14ac:dyDescent="0.35">
      <c r="D315" s="63"/>
      <c r="F315" s="64"/>
      <c r="G315" s="65"/>
      <c r="H315" s="64"/>
      <c r="I315" s="64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</row>
    <row r="316" spans="4:43" ht="14.25" customHeight="1" x14ac:dyDescent="0.35">
      <c r="D316" s="63"/>
      <c r="F316" s="64"/>
      <c r="G316" s="65"/>
      <c r="H316" s="64"/>
      <c r="I316" s="64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</row>
    <row r="317" spans="4:43" ht="14.25" customHeight="1" x14ac:dyDescent="0.35">
      <c r="D317" s="63"/>
      <c r="F317" s="64"/>
      <c r="G317" s="65"/>
      <c r="H317" s="64"/>
      <c r="I317" s="64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</row>
    <row r="318" spans="4:43" ht="14.25" customHeight="1" x14ac:dyDescent="0.35">
      <c r="D318" s="63"/>
      <c r="F318" s="64"/>
      <c r="G318" s="65"/>
      <c r="H318" s="64"/>
      <c r="I318" s="64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</row>
    <row r="319" spans="4:43" ht="14.25" customHeight="1" x14ac:dyDescent="0.35">
      <c r="D319" s="63"/>
      <c r="F319" s="64"/>
      <c r="G319" s="65"/>
      <c r="H319" s="64"/>
      <c r="I319" s="64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</row>
    <row r="320" spans="4:43" ht="14.25" customHeight="1" x14ac:dyDescent="0.35">
      <c r="D320" s="63"/>
      <c r="F320" s="64"/>
      <c r="G320" s="65"/>
      <c r="H320" s="64"/>
      <c r="I320" s="64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</row>
    <row r="321" spans="4:43" ht="14.25" customHeight="1" x14ac:dyDescent="0.35">
      <c r="D321" s="63"/>
      <c r="F321" s="64"/>
      <c r="G321" s="65"/>
      <c r="H321" s="64"/>
      <c r="I321" s="64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</row>
    <row r="322" spans="4:43" ht="14.25" customHeight="1" x14ac:dyDescent="0.35">
      <c r="D322" s="63"/>
      <c r="F322" s="64"/>
      <c r="G322" s="65"/>
      <c r="H322" s="64"/>
      <c r="I322" s="64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</row>
    <row r="323" spans="4:43" ht="14.25" customHeight="1" x14ac:dyDescent="0.35">
      <c r="D323" s="63"/>
      <c r="F323" s="64"/>
      <c r="G323" s="65"/>
      <c r="H323" s="64"/>
      <c r="I323" s="64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</row>
    <row r="324" spans="4:43" ht="14.25" customHeight="1" x14ac:dyDescent="0.35">
      <c r="D324" s="63"/>
      <c r="F324" s="64"/>
      <c r="G324" s="65"/>
      <c r="H324" s="64"/>
      <c r="I324" s="64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</row>
    <row r="325" spans="4:43" ht="14.25" customHeight="1" x14ac:dyDescent="0.35">
      <c r="D325" s="63"/>
      <c r="F325" s="64"/>
      <c r="G325" s="65"/>
      <c r="H325" s="64"/>
      <c r="I325" s="64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</row>
    <row r="326" spans="4:43" ht="14.25" customHeight="1" x14ac:dyDescent="0.35">
      <c r="D326" s="63"/>
      <c r="F326" s="64"/>
      <c r="G326" s="65"/>
      <c r="H326" s="64"/>
      <c r="I326" s="64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</row>
    <row r="327" spans="4:43" ht="14.25" customHeight="1" x14ac:dyDescent="0.35">
      <c r="D327" s="63"/>
      <c r="F327" s="64"/>
      <c r="G327" s="65"/>
      <c r="H327" s="64"/>
      <c r="I327" s="64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</row>
    <row r="328" spans="4:43" ht="14.25" customHeight="1" x14ac:dyDescent="0.35">
      <c r="D328" s="63"/>
      <c r="F328" s="64"/>
      <c r="G328" s="65"/>
      <c r="H328" s="64"/>
      <c r="I328" s="64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</row>
    <row r="329" spans="4:43" ht="14.25" customHeight="1" x14ac:dyDescent="0.35">
      <c r="D329" s="63"/>
      <c r="F329" s="64"/>
      <c r="G329" s="65"/>
      <c r="H329" s="64"/>
      <c r="I329" s="64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</row>
    <row r="330" spans="4:43" ht="14.25" customHeight="1" x14ac:dyDescent="0.35">
      <c r="D330" s="63"/>
      <c r="F330" s="64"/>
      <c r="G330" s="65"/>
      <c r="H330" s="64"/>
      <c r="I330" s="64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</row>
    <row r="331" spans="4:43" ht="14.25" customHeight="1" x14ac:dyDescent="0.35">
      <c r="D331" s="63"/>
      <c r="F331" s="64"/>
      <c r="G331" s="65"/>
      <c r="H331" s="64"/>
      <c r="I331" s="64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</row>
    <row r="332" spans="4:43" ht="14.25" customHeight="1" x14ac:dyDescent="0.35">
      <c r="D332" s="63"/>
      <c r="F332" s="64"/>
      <c r="G332" s="65"/>
      <c r="H332" s="64"/>
      <c r="I332" s="64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</row>
    <row r="333" spans="4:43" ht="14.25" customHeight="1" x14ac:dyDescent="0.35">
      <c r="D333" s="63"/>
      <c r="F333" s="64"/>
      <c r="G333" s="65"/>
      <c r="H333" s="64"/>
      <c r="I333" s="64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</row>
    <row r="334" spans="4:43" ht="14.25" customHeight="1" x14ac:dyDescent="0.35">
      <c r="D334" s="63"/>
      <c r="F334" s="64"/>
      <c r="G334" s="65"/>
      <c r="H334" s="64"/>
      <c r="I334" s="64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</row>
    <row r="335" spans="4:43" ht="14.25" customHeight="1" x14ac:dyDescent="0.35">
      <c r="D335" s="63"/>
      <c r="F335" s="64"/>
      <c r="G335" s="65"/>
      <c r="H335" s="64"/>
      <c r="I335" s="64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</row>
    <row r="336" spans="4:43" ht="14.25" customHeight="1" x14ac:dyDescent="0.35">
      <c r="D336" s="63"/>
      <c r="F336" s="64"/>
      <c r="G336" s="65"/>
      <c r="H336" s="64"/>
      <c r="I336" s="64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</row>
    <row r="337" spans="4:43" ht="14.25" customHeight="1" x14ac:dyDescent="0.35">
      <c r="D337" s="63"/>
      <c r="F337" s="64"/>
      <c r="G337" s="65"/>
      <c r="H337" s="64"/>
      <c r="I337" s="64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</row>
    <row r="338" spans="4:43" ht="14.25" customHeight="1" x14ac:dyDescent="0.35">
      <c r="D338" s="63"/>
      <c r="F338" s="64"/>
      <c r="G338" s="65"/>
      <c r="H338" s="64"/>
      <c r="I338" s="64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</row>
    <row r="339" spans="4:43" ht="14.25" customHeight="1" x14ac:dyDescent="0.35">
      <c r="D339" s="63"/>
      <c r="F339" s="64"/>
      <c r="G339" s="65"/>
      <c r="H339" s="64"/>
      <c r="I339" s="64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</row>
    <row r="340" spans="4:43" ht="14.25" customHeight="1" x14ac:dyDescent="0.35">
      <c r="D340" s="63"/>
      <c r="F340" s="64"/>
      <c r="G340" s="65"/>
      <c r="H340" s="64"/>
      <c r="I340" s="64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</row>
    <row r="341" spans="4:43" ht="14.25" customHeight="1" x14ac:dyDescent="0.35">
      <c r="D341" s="63"/>
      <c r="F341" s="64"/>
      <c r="G341" s="65"/>
      <c r="H341" s="64"/>
      <c r="I341" s="64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</row>
    <row r="342" spans="4:43" ht="14.25" customHeight="1" x14ac:dyDescent="0.35">
      <c r="D342" s="63"/>
      <c r="F342" s="64"/>
      <c r="G342" s="65"/>
      <c r="H342" s="64"/>
      <c r="I342" s="64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</row>
    <row r="343" spans="4:43" ht="14.25" customHeight="1" x14ac:dyDescent="0.35">
      <c r="D343" s="63"/>
      <c r="F343" s="64"/>
      <c r="G343" s="65"/>
      <c r="H343" s="64"/>
      <c r="I343" s="64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</row>
    <row r="344" spans="4:43" ht="14.25" customHeight="1" x14ac:dyDescent="0.35">
      <c r="D344" s="63"/>
      <c r="F344" s="64"/>
      <c r="G344" s="65"/>
      <c r="H344" s="64"/>
      <c r="I344" s="64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</row>
    <row r="345" spans="4:43" ht="14.25" customHeight="1" x14ac:dyDescent="0.35">
      <c r="D345" s="63"/>
      <c r="F345" s="64"/>
      <c r="G345" s="65"/>
      <c r="H345" s="64"/>
      <c r="I345" s="64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</row>
    <row r="346" spans="4:43" ht="14.25" customHeight="1" x14ac:dyDescent="0.35">
      <c r="D346" s="63"/>
      <c r="F346" s="64"/>
      <c r="G346" s="65"/>
      <c r="H346" s="64"/>
      <c r="I346" s="64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</row>
    <row r="347" spans="4:43" ht="14.25" customHeight="1" x14ac:dyDescent="0.35">
      <c r="D347" s="63"/>
      <c r="F347" s="64"/>
      <c r="G347" s="65"/>
      <c r="H347" s="64"/>
      <c r="I347" s="64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</row>
    <row r="348" spans="4:43" ht="14.25" customHeight="1" x14ac:dyDescent="0.35">
      <c r="D348" s="63"/>
      <c r="F348" s="64"/>
      <c r="G348" s="65"/>
      <c r="H348" s="64"/>
      <c r="I348" s="64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</row>
    <row r="349" spans="4:43" ht="14.25" customHeight="1" x14ac:dyDescent="0.35">
      <c r="D349" s="63"/>
      <c r="F349" s="64"/>
      <c r="G349" s="65"/>
      <c r="H349" s="64"/>
      <c r="I349" s="64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</row>
    <row r="350" spans="4:43" ht="14.25" customHeight="1" x14ac:dyDescent="0.35">
      <c r="D350" s="63"/>
      <c r="F350" s="64"/>
      <c r="G350" s="65"/>
      <c r="H350" s="64"/>
      <c r="I350" s="64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</row>
    <row r="351" spans="4:43" ht="14.25" customHeight="1" x14ac:dyDescent="0.35">
      <c r="D351" s="63"/>
      <c r="F351" s="64"/>
      <c r="G351" s="65"/>
      <c r="H351" s="64"/>
      <c r="I351" s="64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</row>
    <row r="352" spans="4:43" ht="14.25" customHeight="1" x14ac:dyDescent="0.35">
      <c r="D352" s="63"/>
      <c r="F352" s="64"/>
      <c r="G352" s="65"/>
      <c r="H352" s="64"/>
      <c r="I352" s="64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</row>
    <row r="353" spans="4:43" ht="14.25" customHeight="1" x14ac:dyDescent="0.35">
      <c r="D353" s="63"/>
      <c r="F353" s="64"/>
      <c r="G353" s="65"/>
      <c r="H353" s="64"/>
      <c r="I353" s="64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</row>
    <row r="354" spans="4:43" ht="14.25" customHeight="1" x14ac:dyDescent="0.35">
      <c r="D354" s="63"/>
      <c r="F354" s="64"/>
      <c r="G354" s="65"/>
      <c r="H354" s="64"/>
      <c r="I354" s="64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</row>
    <row r="355" spans="4:43" ht="14.25" customHeight="1" x14ac:dyDescent="0.35">
      <c r="D355" s="63"/>
      <c r="F355" s="64"/>
      <c r="G355" s="65"/>
      <c r="H355" s="64"/>
      <c r="I355" s="64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</row>
    <row r="356" spans="4:43" ht="14.25" customHeight="1" x14ac:dyDescent="0.35">
      <c r="D356" s="63"/>
      <c r="F356" s="64"/>
      <c r="G356" s="65"/>
      <c r="H356" s="64"/>
      <c r="I356" s="64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</row>
    <row r="357" spans="4:43" ht="14.25" customHeight="1" x14ac:dyDescent="0.35">
      <c r="D357" s="63"/>
      <c r="F357" s="64"/>
      <c r="G357" s="65"/>
      <c r="H357" s="64"/>
      <c r="I357" s="64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</row>
    <row r="358" spans="4:43" ht="14.25" customHeight="1" x14ac:dyDescent="0.35">
      <c r="D358" s="63"/>
      <c r="F358" s="64"/>
      <c r="G358" s="65"/>
      <c r="H358" s="64"/>
      <c r="I358" s="64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</row>
    <row r="359" spans="4:43" ht="14.25" customHeight="1" x14ac:dyDescent="0.35">
      <c r="D359" s="63"/>
      <c r="F359" s="64"/>
      <c r="G359" s="65"/>
      <c r="H359" s="64"/>
      <c r="I359" s="64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</row>
    <row r="360" spans="4:43" ht="14.25" customHeight="1" x14ac:dyDescent="0.35">
      <c r="D360" s="63"/>
      <c r="F360" s="64"/>
      <c r="G360" s="65"/>
      <c r="H360" s="64"/>
      <c r="I360" s="64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</row>
    <row r="361" spans="4:43" ht="14.25" customHeight="1" x14ac:dyDescent="0.35">
      <c r="D361" s="63"/>
      <c r="F361" s="64"/>
      <c r="G361" s="65"/>
      <c r="H361" s="64"/>
      <c r="I361" s="64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</row>
    <row r="362" spans="4:43" ht="14.25" customHeight="1" x14ac:dyDescent="0.35">
      <c r="D362" s="63"/>
      <c r="F362" s="64"/>
      <c r="G362" s="65"/>
      <c r="H362" s="64"/>
      <c r="I362" s="64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</row>
    <row r="363" spans="4:43" ht="14.25" customHeight="1" x14ac:dyDescent="0.35">
      <c r="D363" s="63"/>
      <c r="F363" s="64"/>
      <c r="G363" s="65"/>
      <c r="H363" s="64"/>
      <c r="I363" s="64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</row>
    <row r="364" spans="4:43" ht="14.25" customHeight="1" x14ac:dyDescent="0.35">
      <c r="D364" s="63"/>
      <c r="F364" s="64"/>
      <c r="G364" s="65"/>
      <c r="H364" s="64"/>
      <c r="I364" s="64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</row>
    <row r="365" spans="4:43" ht="14.25" customHeight="1" x14ac:dyDescent="0.35">
      <c r="D365" s="63"/>
      <c r="F365" s="64"/>
      <c r="G365" s="65"/>
      <c r="H365" s="64"/>
      <c r="I365" s="64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</row>
    <row r="366" spans="4:43" ht="14.25" customHeight="1" x14ac:dyDescent="0.35">
      <c r="D366" s="63"/>
      <c r="F366" s="64"/>
      <c r="G366" s="65"/>
      <c r="H366" s="64"/>
      <c r="I366" s="64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</row>
    <row r="367" spans="4:43" ht="14.25" customHeight="1" x14ac:dyDescent="0.35">
      <c r="D367" s="63"/>
      <c r="F367" s="64"/>
      <c r="G367" s="65"/>
      <c r="H367" s="64"/>
      <c r="I367" s="64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</row>
    <row r="368" spans="4:43" ht="14.25" customHeight="1" x14ac:dyDescent="0.35">
      <c r="D368" s="63"/>
      <c r="F368" s="64"/>
      <c r="G368" s="65"/>
      <c r="H368" s="64"/>
      <c r="I368" s="64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</row>
    <row r="369" spans="4:43" ht="14.25" customHeight="1" x14ac:dyDescent="0.35">
      <c r="D369" s="63"/>
      <c r="F369" s="64"/>
      <c r="G369" s="65"/>
      <c r="H369" s="64"/>
      <c r="I369" s="64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</row>
    <row r="370" spans="4:43" ht="14.25" customHeight="1" x14ac:dyDescent="0.35">
      <c r="D370" s="63"/>
      <c r="F370" s="64"/>
      <c r="G370" s="65"/>
      <c r="H370" s="64"/>
      <c r="I370" s="64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</row>
    <row r="371" spans="4:43" ht="14.25" customHeight="1" x14ac:dyDescent="0.35">
      <c r="D371" s="63"/>
      <c r="F371" s="64"/>
      <c r="G371" s="65"/>
      <c r="H371" s="64"/>
      <c r="I371" s="64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</row>
    <row r="372" spans="4:43" ht="14.25" customHeight="1" x14ac:dyDescent="0.35">
      <c r="D372" s="63"/>
      <c r="F372" s="64"/>
      <c r="G372" s="65"/>
      <c r="H372" s="64"/>
      <c r="I372" s="64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</row>
    <row r="373" spans="4:43" ht="14.25" customHeight="1" x14ac:dyDescent="0.35">
      <c r="D373" s="63"/>
      <c r="F373" s="64"/>
      <c r="G373" s="65"/>
      <c r="H373" s="64"/>
      <c r="I373" s="64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</row>
    <row r="374" spans="4:43" ht="14.25" customHeight="1" x14ac:dyDescent="0.35">
      <c r="D374" s="63"/>
      <c r="F374" s="64"/>
      <c r="G374" s="65"/>
      <c r="H374" s="64"/>
      <c r="I374" s="64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</row>
    <row r="375" spans="4:43" ht="14.25" customHeight="1" x14ac:dyDescent="0.35">
      <c r="D375" s="63"/>
      <c r="F375" s="64"/>
      <c r="G375" s="65"/>
      <c r="H375" s="64"/>
      <c r="I375" s="64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</row>
    <row r="376" spans="4:43" ht="14.25" customHeight="1" x14ac:dyDescent="0.35">
      <c r="D376" s="63"/>
      <c r="F376" s="64"/>
      <c r="G376" s="65"/>
      <c r="H376" s="64"/>
      <c r="I376" s="64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</row>
    <row r="377" spans="4:43" ht="14.25" customHeight="1" x14ac:dyDescent="0.35">
      <c r="D377" s="63"/>
      <c r="F377" s="64"/>
      <c r="G377" s="65"/>
      <c r="H377" s="64"/>
      <c r="I377" s="64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</row>
    <row r="378" spans="4:43" ht="14.25" customHeight="1" x14ac:dyDescent="0.35">
      <c r="D378" s="63"/>
      <c r="F378" s="64"/>
      <c r="G378" s="65"/>
      <c r="H378" s="64"/>
      <c r="I378" s="64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</row>
    <row r="379" spans="4:43" ht="14.25" customHeight="1" x14ac:dyDescent="0.35">
      <c r="D379" s="63"/>
      <c r="F379" s="64"/>
      <c r="G379" s="65"/>
      <c r="H379" s="64"/>
      <c r="I379" s="64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</row>
    <row r="380" spans="4:43" ht="14.25" customHeight="1" x14ac:dyDescent="0.35">
      <c r="D380" s="63"/>
      <c r="F380" s="64"/>
      <c r="G380" s="65"/>
      <c r="H380" s="64"/>
      <c r="I380" s="64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</row>
    <row r="381" spans="4:43" ht="14.25" customHeight="1" x14ac:dyDescent="0.35">
      <c r="D381" s="63"/>
      <c r="F381" s="64"/>
      <c r="G381" s="65"/>
      <c r="H381" s="64"/>
      <c r="I381" s="64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</row>
    <row r="382" spans="4:43" ht="14.25" customHeight="1" x14ac:dyDescent="0.35">
      <c r="D382" s="63"/>
      <c r="F382" s="64"/>
      <c r="G382" s="65"/>
      <c r="H382" s="64"/>
      <c r="I382" s="64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</row>
    <row r="383" spans="4:43" ht="14.25" customHeight="1" x14ac:dyDescent="0.35">
      <c r="D383" s="63"/>
      <c r="F383" s="64"/>
      <c r="G383" s="65"/>
      <c r="H383" s="64"/>
      <c r="I383" s="64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</row>
    <row r="384" spans="4:43" ht="14.25" customHeight="1" x14ac:dyDescent="0.35">
      <c r="D384" s="63"/>
      <c r="F384" s="64"/>
      <c r="G384" s="65"/>
      <c r="H384" s="64"/>
      <c r="I384" s="64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</row>
    <row r="385" spans="4:43" ht="14.25" customHeight="1" x14ac:dyDescent="0.35">
      <c r="D385" s="63"/>
      <c r="F385" s="64"/>
      <c r="G385" s="65"/>
      <c r="H385" s="64"/>
      <c r="I385" s="64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</row>
    <row r="386" spans="4:43" ht="14.25" customHeight="1" x14ac:dyDescent="0.35">
      <c r="D386" s="63"/>
      <c r="F386" s="64"/>
      <c r="G386" s="65"/>
      <c r="H386" s="64"/>
      <c r="I386" s="64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</row>
    <row r="387" spans="4:43" ht="14.25" customHeight="1" x14ac:dyDescent="0.35">
      <c r="D387" s="63"/>
      <c r="F387" s="64"/>
      <c r="G387" s="65"/>
      <c r="H387" s="64"/>
      <c r="I387" s="64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</row>
    <row r="388" spans="4:43" ht="14.25" customHeight="1" x14ac:dyDescent="0.35">
      <c r="D388" s="63"/>
      <c r="F388" s="64"/>
      <c r="G388" s="65"/>
      <c r="H388" s="64"/>
      <c r="I388" s="64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</row>
    <row r="389" spans="4:43" ht="14.25" customHeight="1" x14ac:dyDescent="0.35">
      <c r="D389" s="63"/>
      <c r="F389" s="64"/>
      <c r="G389" s="65"/>
      <c r="H389" s="64"/>
      <c r="I389" s="64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</row>
    <row r="390" spans="4:43" ht="14.25" customHeight="1" x14ac:dyDescent="0.35">
      <c r="D390" s="63"/>
      <c r="F390" s="64"/>
      <c r="G390" s="65"/>
      <c r="H390" s="64"/>
      <c r="I390" s="64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</row>
    <row r="391" spans="4:43" ht="14.25" customHeight="1" x14ac:dyDescent="0.35">
      <c r="D391" s="63"/>
      <c r="F391" s="64"/>
      <c r="G391" s="65"/>
      <c r="H391" s="64"/>
      <c r="I391" s="64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</row>
    <row r="392" spans="4:43" ht="14.25" customHeight="1" x14ac:dyDescent="0.35">
      <c r="D392" s="63"/>
      <c r="F392" s="64"/>
      <c r="G392" s="65"/>
      <c r="H392" s="64"/>
      <c r="I392" s="64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</row>
    <row r="393" spans="4:43" ht="14.25" customHeight="1" x14ac:dyDescent="0.35">
      <c r="D393" s="63"/>
      <c r="F393" s="64"/>
      <c r="G393" s="65"/>
      <c r="H393" s="64"/>
      <c r="I393" s="64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</row>
    <row r="394" spans="4:43" ht="14.25" customHeight="1" x14ac:dyDescent="0.35">
      <c r="D394" s="63"/>
      <c r="F394" s="64"/>
      <c r="G394" s="65"/>
      <c r="H394" s="64"/>
      <c r="I394" s="64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</row>
    <row r="395" spans="4:43" ht="14.25" customHeight="1" x14ac:dyDescent="0.35">
      <c r="D395" s="63"/>
      <c r="F395" s="64"/>
      <c r="G395" s="65"/>
      <c r="H395" s="64"/>
      <c r="I395" s="64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</row>
    <row r="396" spans="4:43" ht="14.25" customHeight="1" x14ac:dyDescent="0.35">
      <c r="D396" s="63"/>
      <c r="F396" s="64"/>
      <c r="G396" s="65"/>
      <c r="H396" s="64"/>
      <c r="I396" s="64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</row>
    <row r="397" spans="4:43" ht="14.25" customHeight="1" x14ac:dyDescent="0.35">
      <c r="D397" s="63"/>
      <c r="F397" s="64"/>
      <c r="G397" s="65"/>
      <c r="H397" s="64"/>
      <c r="I397" s="64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</row>
    <row r="398" spans="4:43" ht="14.25" customHeight="1" x14ac:dyDescent="0.35">
      <c r="D398" s="63"/>
      <c r="F398" s="64"/>
      <c r="G398" s="65"/>
      <c r="H398" s="64"/>
      <c r="I398" s="64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</row>
    <row r="399" spans="4:43" ht="14.25" customHeight="1" x14ac:dyDescent="0.35">
      <c r="D399" s="63"/>
      <c r="F399" s="64"/>
      <c r="G399" s="65"/>
      <c r="H399" s="64"/>
      <c r="I399" s="64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</row>
    <row r="400" spans="4:43" ht="14.25" customHeight="1" x14ac:dyDescent="0.35">
      <c r="D400" s="63"/>
      <c r="F400" s="64"/>
      <c r="G400" s="65"/>
      <c r="H400" s="64"/>
      <c r="I400" s="64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</row>
    <row r="401" spans="4:43" ht="14.25" customHeight="1" x14ac:dyDescent="0.35">
      <c r="D401" s="63"/>
      <c r="F401" s="64"/>
      <c r="G401" s="65"/>
      <c r="H401" s="64"/>
      <c r="I401" s="64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</row>
    <row r="402" spans="4:43" ht="14.25" customHeight="1" x14ac:dyDescent="0.35">
      <c r="D402" s="63"/>
      <c r="F402" s="64"/>
      <c r="G402" s="65"/>
      <c r="H402" s="64"/>
      <c r="I402" s="64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</row>
    <row r="403" spans="4:43" ht="14.25" customHeight="1" x14ac:dyDescent="0.35">
      <c r="D403" s="63"/>
      <c r="F403" s="64"/>
      <c r="G403" s="65"/>
      <c r="H403" s="64"/>
      <c r="I403" s="64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</row>
    <row r="404" spans="4:43" ht="14.25" customHeight="1" x14ac:dyDescent="0.35">
      <c r="D404" s="63"/>
      <c r="F404" s="64"/>
      <c r="G404" s="65"/>
      <c r="H404" s="64"/>
      <c r="I404" s="64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</row>
    <row r="405" spans="4:43" ht="14.25" customHeight="1" x14ac:dyDescent="0.35">
      <c r="D405" s="63"/>
      <c r="F405" s="64"/>
      <c r="G405" s="65"/>
      <c r="H405" s="64"/>
      <c r="I405" s="64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</row>
    <row r="406" spans="4:43" ht="14.25" customHeight="1" x14ac:dyDescent="0.35">
      <c r="D406" s="63"/>
      <c r="F406" s="64"/>
      <c r="G406" s="65"/>
      <c r="H406" s="64"/>
      <c r="I406" s="64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</row>
    <row r="407" spans="4:43" ht="14.25" customHeight="1" x14ac:dyDescent="0.35">
      <c r="D407" s="63"/>
      <c r="F407" s="64"/>
      <c r="G407" s="65"/>
      <c r="H407" s="64"/>
      <c r="I407" s="64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</row>
    <row r="408" spans="4:43" ht="14.25" customHeight="1" x14ac:dyDescent="0.35">
      <c r="D408" s="63"/>
      <c r="F408" s="64"/>
      <c r="G408" s="65"/>
      <c r="H408" s="64"/>
      <c r="I408" s="64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</row>
    <row r="409" spans="4:43" ht="14.25" customHeight="1" x14ac:dyDescent="0.35">
      <c r="D409" s="63"/>
      <c r="F409" s="64"/>
      <c r="G409" s="65"/>
      <c r="H409" s="64"/>
      <c r="I409" s="64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</row>
    <row r="410" spans="4:43" ht="14.25" customHeight="1" x14ac:dyDescent="0.35">
      <c r="D410" s="63"/>
      <c r="F410" s="64"/>
      <c r="G410" s="65"/>
      <c r="H410" s="64"/>
      <c r="I410" s="64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</row>
    <row r="411" spans="4:43" ht="14.25" customHeight="1" x14ac:dyDescent="0.35">
      <c r="D411" s="63"/>
      <c r="F411" s="64"/>
      <c r="G411" s="65"/>
      <c r="H411" s="64"/>
      <c r="I411" s="64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</row>
    <row r="412" spans="4:43" ht="14.25" customHeight="1" x14ac:dyDescent="0.35">
      <c r="D412" s="63"/>
      <c r="F412" s="64"/>
      <c r="G412" s="65"/>
      <c r="H412" s="64"/>
      <c r="I412" s="64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</row>
    <row r="413" spans="4:43" ht="14.25" customHeight="1" x14ac:dyDescent="0.35">
      <c r="D413" s="63"/>
      <c r="F413" s="64"/>
      <c r="G413" s="65"/>
      <c r="H413" s="64"/>
      <c r="I413" s="64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</row>
    <row r="414" spans="4:43" ht="14.25" customHeight="1" x14ac:dyDescent="0.35">
      <c r="D414" s="63"/>
      <c r="F414" s="64"/>
      <c r="G414" s="65"/>
      <c r="H414" s="64"/>
      <c r="I414" s="64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</row>
    <row r="415" spans="4:43" ht="14.25" customHeight="1" x14ac:dyDescent="0.35">
      <c r="D415" s="63"/>
      <c r="F415" s="64"/>
      <c r="G415" s="65"/>
      <c r="H415" s="64"/>
      <c r="I415" s="64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</row>
    <row r="416" spans="4:43" ht="14.25" customHeight="1" x14ac:dyDescent="0.35">
      <c r="D416" s="63"/>
      <c r="F416" s="64"/>
      <c r="G416" s="65"/>
      <c r="H416" s="64"/>
      <c r="I416" s="64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</row>
    <row r="417" spans="4:43" ht="14.25" customHeight="1" x14ac:dyDescent="0.35">
      <c r="D417" s="63"/>
      <c r="F417" s="64"/>
      <c r="G417" s="65"/>
      <c r="H417" s="64"/>
      <c r="I417" s="64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</row>
    <row r="418" spans="4:43" ht="14.25" customHeight="1" x14ac:dyDescent="0.35">
      <c r="D418" s="63"/>
      <c r="F418" s="64"/>
      <c r="G418" s="65"/>
      <c r="H418" s="64"/>
      <c r="I418" s="64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</row>
    <row r="419" spans="4:43" ht="14.25" customHeight="1" x14ac:dyDescent="0.35">
      <c r="D419" s="63"/>
      <c r="F419" s="64"/>
      <c r="G419" s="65"/>
      <c r="H419" s="64"/>
      <c r="I419" s="64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</row>
    <row r="420" spans="4:43" ht="14.25" customHeight="1" x14ac:dyDescent="0.35">
      <c r="D420" s="63"/>
      <c r="F420" s="64"/>
      <c r="G420" s="65"/>
      <c r="H420" s="64"/>
      <c r="I420" s="64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</row>
    <row r="421" spans="4:43" ht="14.25" customHeight="1" x14ac:dyDescent="0.35">
      <c r="D421" s="63"/>
      <c r="F421" s="64"/>
      <c r="G421" s="65"/>
      <c r="H421" s="64"/>
      <c r="I421" s="64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</row>
    <row r="422" spans="4:43" ht="14.25" customHeight="1" x14ac:dyDescent="0.35">
      <c r="D422" s="63"/>
      <c r="F422" s="64"/>
      <c r="G422" s="65"/>
      <c r="H422" s="64"/>
      <c r="I422" s="64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</row>
    <row r="423" spans="4:43" ht="14.25" customHeight="1" x14ac:dyDescent="0.35">
      <c r="D423" s="63"/>
      <c r="F423" s="64"/>
      <c r="G423" s="65"/>
      <c r="H423" s="64"/>
      <c r="I423" s="64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</row>
    <row r="424" spans="4:43" ht="14.25" customHeight="1" x14ac:dyDescent="0.35">
      <c r="D424" s="63"/>
      <c r="F424" s="64"/>
      <c r="G424" s="65"/>
      <c r="H424" s="64"/>
      <c r="I424" s="64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</row>
    <row r="425" spans="4:43" ht="14.25" customHeight="1" x14ac:dyDescent="0.35">
      <c r="D425" s="63"/>
      <c r="F425" s="64"/>
      <c r="G425" s="65"/>
      <c r="H425" s="64"/>
      <c r="I425" s="64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</row>
    <row r="426" spans="4:43" ht="14.25" customHeight="1" x14ac:dyDescent="0.35">
      <c r="D426" s="63"/>
      <c r="F426" s="64"/>
      <c r="G426" s="65"/>
      <c r="H426" s="64"/>
      <c r="I426" s="64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</row>
    <row r="427" spans="4:43" ht="14.25" customHeight="1" x14ac:dyDescent="0.35">
      <c r="D427" s="63"/>
      <c r="F427" s="64"/>
      <c r="G427" s="65"/>
      <c r="H427" s="64"/>
      <c r="I427" s="64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</row>
    <row r="428" spans="4:43" ht="14.25" customHeight="1" x14ac:dyDescent="0.35">
      <c r="D428" s="63"/>
      <c r="F428" s="64"/>
      <c r="G428" s="65"/>
      <c r="H428" s="64"/>
      <c r="I428" s="64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</row>
    <row r="429" spans="4:43" ht="14.25" customHeight="1" x14ac:dyDescent="0.35">
      <c r="D429" s="63"/>
      <c r="F429" s="64"/>
      <c r="G429" s="65"/>
      <c r="H429" s="64"/>
      <c r="I429" s="64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</row>
    <row r="430" spans="4:43" ht="14.25" customHeight="1" x14ac:dyDescent="0.35">
      <c r="D430" s="63"/>
      <c r="F430" s="64"/>
      <c r="G430" s="65"/>
      <c r="H430" s="64"/>
      <c r="I430" s="64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</row>
    <row r="431" spans="4:43" ht="14.25" customHeight="1" x14ac:dyDescent="0.35">
      <c r="D431" s="63"/>
      <c r="F431" s="64"/>
      <c r="G431" s="65"/>
      <c r="H431" s="64"/>
      <c r="I431" s="64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</row>
    <row r="432" spans="4:43" ht="14.25" customHeight="1" x14ac:dyDescent="0.35">
      <c r="D432" s="63"/>
      <c r="F432" s="64"/>
      <c r="G432" s="65"/>
      <c r="H432" s="64"/>
      <c r="I432" s="64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</row>
    <row r="433" spans="4:43" ht="14.25" customHeight="1" x14ac:dyDescent="0.35">
      <c r="D433" s="63"/>
      <c r="F433" s="64"/>
      <c r="G433" s="65"/>
      <c r="H433" s="64"/>
      <c r="I433" s="64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</row>
    <row r="434" spans="4:43" ht="14.25" customHeight="1" x14ac:dyDescent="0.35">
      <c r="D434" s="63"/>
      <c r="F434" s="64"/>
      <c r="G434" s="65"/>
      <c r="H434" s="64"/>
      <c r="I434" s="64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</row>
    <row r="435" spans="4:43" ht="14.25" customHeight="1" x14ac:dyDescent="0.35">
      <c r="D435" s="63"/>
      <c r="F435" s="64"/>
      <c r="G435" s="65"/>
      <c r="H435" s="64"/>
      <c r="I435" s="64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</row>
    <row r="436" spans="4:43" ht="14.25" customHeight="1" x14ac:dyDescent="0.35">
      <c r="D436" s="63"/>
      <c r="F436" s="64"/>
      <c r="G436" s="65"/>
      <c r="H436" s="64"/>
      <c r="I436" s="64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</row>
    <row r="437" spans="4:43" ht="14.25" customHeight="1" x14ac:dyDescent="0.35">
      <c r="D437" s="63"/>
      <c r="F437" s="64"/>
      <c r="G437" s="65"/>
      <c r="H437" s="64"/>
      <c r="I437" s="64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</row>
    <row r="438" spans="4:43" ht="14.25" customHeight="1" x14ac:dyDescent="0.35">
      <c r="D438" s="63"/>
      <c r="F438" s="64"/>
      <c r="G438" s="65"/>
      <c r="H438" s="64"/>
      <c r="I438" s="64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</row>
    <row r="439" spans="4:43" ht="14.25" customHeight="1" x14ac:dyDescent="0.35">
      <c r="D439" s="63"/>
      <c r="F439" s="64"/>
      <c r="G439" s="65"/>
      <c r="H439" s="64"/>
      <c r="I439" s="64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</row>
    <row r="440" spans="4:43" ht="14.25" customHeight="1" x14ac:dyDescent="0.35">
      <c r="D440" s="63"/>
      <c r="F440" s="64"/>
      <c r="G440" s="65"/>
      <c r="H440" s="64"/>
      <c r="I440" s="64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</row>
    <row r="441" spans="4:43" ht="14.25" customHeight="1" x14ac:dyDescent="0.35">
      <c r="D441" s="63"/>
      <c r="F441" s="64"/>
      <c r="G441" s="65"/>
      <c r="H441" s="64"/>
      <c r="I441" s="64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</row>
    <row r="442" spans="4:43" ht="14.25" customHeight="1" x14ac:dyDescent="0.35">
      <c r="D442" s="63"/>
      <c r="F442" s="64"/>
      <c r="G442" s="65"/>
      <c r="H442" s="64"/>
      <c r="I442" s="64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</row>
    <row r="443" spans="4:43" ht="14.25" customHeight="1" x14ac:dyDescent="0.35">
      <c r="D443" s="63"/>
      <c r="F443" s="64"/>
      <c r="G443" s="65"/>
      <c r="H443" s="64"/>
      <c r="I443" s="64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</row>
    <row r="444" spans="4:43" ht="14.25" customHeight="1" x14ac:dyDescent="0.35">
      <c r="D444" s="63"/>
      <c r="F444" s="64"/>
      <c r="G444" s="65"/>
      <c r="H444" s="64"/>
      <c r="I444" s="64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</row>
    <row r="445" spans="4:43" ht="14.25" customHeight="1" x14ac:dyDescent="0.35">
      <c r="D445" s="63"/>
      <c r="F445" s="64"/>
      <c r="G445" s="65"/>
      <c r="H445" s="64"/>
      <c r="I445" s="64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</row>
    <row r="446" spans="4:43" ht="14.25" customHeight="1" x14ac:dyDescent="0.35">
      <c r="D446" s="63"/>
      <c r="F446" s="64"/>
      <c r="G446" s="65"/>
      <c r="H446" s="64"/>
      <c r="I446" s="64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</row>
    <row r="447" spans="4:43" ht="14.25" customHeight="1" x14ac:dyDescent="0.35">
      <c r="D447" s="63"/>
      <c r="F447" s="64"/>
      <c r="G447" s="65"/>
      <c r="H447" s="64"/>
      <c r="I447" s="64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</row>
    <row r="448" spans="4:43" ht="14.25" customHeight="1" x14ac:dyDescent="0.35">
      <c r="D448" s="63"/>
      <c r="F448" s="64"/>
      <c r="G448" s="65"/>
      <c r="H448" s="64"/>
      <c r="I448" s="64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</row>
    <row r="449" spans="4:43" ht="14.25" customHeight="1" x14ac:dyDescent="0.35">
      <c r="D449" s="63"/>
      <c r="F449" s="64"/>
      <c r="G449" s="65"/>
      <c r="H449" s="64"/>
      <c r="I449" s="64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</row>
    <row r="450" spans="4:43" ht="14.25" customHeight="1" x14ac:dyDescent="0.35">
      <c r="D450" s="63"/>
      <c r="F450" s="64"/>
      <c r="G450" s="65"/>
      <c r="H450" s="64"/>
      <c r="I450" s="64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</row>
    <row r="451" spans="4:43" ht="14.25" customHeight="1" x14ac:dyDescent="0.35">
      <c r="D451" s="63"/>
      <c r="F451" s="64"/>
      <c r="G451" s="65"/>
      <c r="H451" s="64"/>
      <c r="I451" s="64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</row>
    <row r="452" spans="4:43" ht="14.25" customHeight="1" x14ac:dyDescent="0.35">
      <c r="D452" s="63"/>
      <c r="F452" s="64"/>
      <c r="G452" s="65"/>
      <c r="H452" s="64"/>
      <c r="I452" s="64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</row>
    <row r="453" spans="4:43" ht="14.25" customHeight="1" x14ac:dyDescent="0.35">
      <c r="D453" s="63"/>
      <c r="F453" s="64"/>
      <c r="G453" s="65"/>
      <c r="H453" s="64"/>
      <c r="I453" s="64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</row>
    <row r="454" spans="4:43" ht="14.25" customHeight="1" x14ac:dyDescent="0.35">
      <c r="D454" s="63"/>
      <c r="F454" s="64"/>
      <c r="G454" s="65"/>
      <c r="H454" s="64"/>
      <c r="I454" s="64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</row>
    <row r="455" spans="4:43" ht="14.25" customHeight="1" x14ac:dyDescent="0.35">
      <c r="D455" s="63"/>
      <c r="F455" s="64"/>
      <c r="G455" s="65"/>
      <c r="H455" s="64"/>
      <c r="I455" s="64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</row>
    <row r="456" spans="4:43" ht="14.25" customHeight="1" x14ac:dyDescent="0.35">
      <c r="D456" s="63"/>
      <c r="F456" s="64"/>
      <c r="G456" s="65"/>
      <c r="H456" s="64"/>
      <c r="I456" s="64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</row>
    <row r="457" spans="4:43" ht="14.25" customHeight="1" x14ac:dyDescent="0.35">
      <c r="D457" s="63"/>
      <c r="F457" s="64"/>
      <c r="G457" s="65"/>
      <c r="H457" s="64"/>
      <c r="I457" s="64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</row>
    <row r="458" spans="4:43" ht="14.25" customHeight="1" x14ac:dyDescent="0.35">
      <c r="D458" s="63"/>
      <c r="F458" s="64"/>
      <c r="G458" s="65"/>
      <c r="H458" s="64"/>
      <c r="I458" s="64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</row>
    <row r="459" spans="4:43" ht="14.25" customHeight="1" x14ac:dyDescent="0.35">
      <c r="D459" s="63"/>
      <c r="F459" s="64"/>
      <c r="G459" s="65"/>
      <c r="H459" s="64"/>
      <c r="I459" s="64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</row>
    <row r="460" spans="4:43" ht="14.25" customHeight="1" x14ac:dyDescent="0.35">
      <c r="D460" s="63"/>
      <c r="F460" s="64"/>
      <c r="G460" s="65"/>
      <c r="H460" s="64"/>
      <c r="I460" s="64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</row>
    <row r="461" spans="4:43" ht="14.25" customHeight="1" x14ac:dyDescent="0.35">
      <c r="D461" s="63"/>
      <c r="F461" s="64"/>
      <c r="G461" s="65"/>
      <c r="H461" s="64"/>
      <c r="I461" s="64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</row>
    <row r="462" spans="4:43" ht="14.25" customHeight="1" x14ac:dyDescent="0.35">
      <c r="D462" s="63"/>
      <c r="F462" s="64"/>
      <c r="G462" s="65"/>
      <c r="H462" s="64"/>
      <c r="I462" s="64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</row>
    <row r="463" spans="4:43" ht="14.25" customHeight="1" x14ac:dyDescent="0.35">
      <c r="D463" s="63"/>
      <c r="F463" s="64"/>
      <c r="G463" s="65"/>
      <c r="H463" s="64"/>
      <c r="I463" s="64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</row>
    <row r="464" spans="4:43" ht="14.25" customHeight="1" x14ac:dyDescent="0.35">
      <c r="D464" s="63"/>
      <c r="F464" s="64"/>
      <c r="G464" s="65"/>
      <c r="H464" s="64"/>
      <c r="I464" s="64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</row>
    <row r="465" spans="4:43" ht="14.25" customHeight="1" x14ac:dyDescent="0.35">
      <c r="D465" s="63"/>
      <c r="F465" s="64"/>
      <c r="G465" s="65"/>
      <c r="H465" s="64"/>
      <c r="I465" s="64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</row>
    <row r="466" spans="4:43" ht="14.25" customHeight="1" x14ac:dyDescent="0.35">
      <c r="D466" s="63"/>
      <c r="F466" s="64"/>
      <c r="G466" s="65"/>
      <c r="H466" s="64"/>
      <c r="I466" s="64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</row>
    <row r="467" spans="4:43" ht="14.25" customHeight="1" x14ac:dyDescent="0.35">
      <c r="D467" s="63"/>
      <c r="F467" s="64"/>
      <c r="G467" s="65"/>
      <c r="H467" s="64"/>
      <c r="I467" s="64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</row>
    <row r="468" spans="4:43" ht="14.25" customHeight="1" x14ac:dyDescent="0.35">
      <c r="D468" s="63"/>
      <c r="F468" s="64"/>
      <c r="G468" s="65"/>
      <c r="H468" s="64"/>
      <c r="I468" s="64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</row>
    <row r="469" spans="4:43" ht="14.25" customHeight="1" x14ac:dyDescent="0.35">
      <c r="D469" s="63"/>
      <c r="F469" s="64"/>
      <c r="G469" s="65"/>
      <c r="H469" s="64"/>
      <c r="I469" s="64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</row>
    <row r="470" spans="4:43" ht="14.25" customHeight="1" x14ac:dyDescent="0.35">
      <c r="D470" s="63"/>
      <c r="F470" s="64"/>
      <c r="G470" s="65"/>
      <c r="H470" s="64"/>
      <c r="I470" s="64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</row>
    <row r="471" spans="4:43" ht="14.25" customHeight="1" x14ac:dyDescent="0.35">
      <c r="D471" s="63"/>
      <c r="F471" s="64"/>
      <c r="G471" s="65"/>
      <c r="H471" s="64"/>
      <c r="I471" s="64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</row>
    <row r="472" spans="4:43" ht="14.25" customHeight="1" x14ac:dyDescent="0.35">
      <c r="D472" s="63"/>
      <c r="F472" s="64"/>
      <c r="G472" s="65"/>
      <c r="H472" s="64"/>
      <c r="I472" s="64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</row>
    <row r="473" spans="4:43" ht="14.25" customHeight="1" x14ac:dyDescent="0.35">
      <c r="D473" s="63"/>
      <c r="F473" s="64"/>
      <c r="G473" s="65"/>
      <c r="H473" s="64"/>
      <c r="I473" s="64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</row>
    <row r="474" spans="4:43" ht="14.25" customHeight="1" x14ac:dyDescent="0.35">
      <c r="D474" s="63"/>
      <c r="F474" s="64"/>
      <c r="G474" s="65"/>
      <c r="H474" s="64"/>
      <c r="I474" s="64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</row>
    <row r="475" spans="4:43" ht="14.25" customHeight="1" x14ac:dyDescent="0.35">
      <c r="D475" s="63"/>
      <c r="F475" s="64"/>
      <c r="G475" s="65"/>
      <c r="H475" s="64"/>
      <c r="I475" s="64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</row>
    <row r="476" spans="4:43" ht="14.25" customHeight="1" x14ac:dyDescent="0.35">
      <c r="D476" s="63"/>
      <c r="F476" s="64"/>
      <c r="G476" s="65"/>
      <c r="H476" s="64"/>
      <c r="I476" s="64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</row>
    <row r="477" spans="4:43" ht="14.25" customHeight="1" x14ac:dyDescent="0.35">
      <c r="D477" s="63"/>
      <c r="F477" s="64"/>
      <c r="G477" s="65"/>
      <c r="H477" s="64"/>
      <c r="I477" s="64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</row>
    <row r="478" spans="4:43" ht="14.25" customHeight="1" x14ac:dyDescent="0.35">
      <c r="D478" s="63"/>
      <c r="F478" s="64"/>
      <c r="G478" s="65"/>
      <c r="H478" s="64"/>
      <c r="I478" s="64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</row>
    <row r="479" spans="4:43" ht="14.25" customHeight="1" x14ac:dyDescent="0.35">
      <c r="D479" s="63"/>
      <c r="F479" s="64"/>
      <c r="G479" s="65"/>
      <c r="H479" s="64"/>
      <c r="I479" s="64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</row>
    <row r="480" spans="4:43" ht="14.25" customHeight="1" x14ac:dyDescent="0.35">
      <c r="D480" s="63"/>
      <c r="F480" s="64"/>
      <c r="G480" s="65"/>
      <c r="H480" s="64"/>
      <c r="I480" s="64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</row>
    <row r="481" spans="4:43" ht="14.25" customHeight="1" x14ac:dyDescent="0.35">
      <c r="D481" s="63"/>
      <c r="F481" s="64"/>
      <c r="G481" s="65"/>
      <c r="H481" s="64"/>
      <c r="I481" s="64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</row>
    <row r="482" spans="4:43" ht="14.25" customHeight="1" x14ac:dyDescent="0.35">
      <c r="D482" s="63"/>
      <c r="F482" s="64"/>
      <c r="G482" s="65"/>
      <c r="H482" s="64"/>
      <c r="I482" s="64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</row>
    <row r="483" spans="4:43" ht="14.25" customHeight="1" x14ac:dyDescent="0.35">
      <c r="D483" s="63"/>
      <c r="F483" s="64"/>
      <c r="G483" s="65"/>
      <c r="H483" s="64"/>
      <c r="I483" s="64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</row>
    <row r="484" spans="4:43" ht="14.25" customHeight="1" x14ac:dyDescent="0.35">
      <c r="D484" s="63"/>
      <c r="F484" s="64"/>
      <c r="G484" s="65"/>
      <c r="H484" s="64"/>
      <c r="I484" s="64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</row>
    <row r="485" spans="4:43" ht="14.25" customHeight="1" x14ac:dyDescent="0.35">
      <c r="D485" s="63"/>
      <c r="F485" s="64"/>
      <c r="G485" s="65"/>
      <c r="H485" s="64"/>
      <c r="I485" s="64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</row>
    <row r="486" spans="4:43" ht="14.25" customHeight="1" x14ac:dyDescent="0.35">
      <c r="D486" s="63"/>
      <c r="F486" s="64"/>
      <c r="G486" s="65"/>
      <c r="H486" s="64"/>
      <c r="I486" s="64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</row>
    <row r="487" spans="4:43" ht="14.25" customHeight="1" x14ac:dyDescent="0.35">
      <c r="D487" s="63"/>
      <c r="F487" s="64"/>
      <c r="G487" s="65"/>
      <c r="H487" s="64"/>
      <c r="I487" s="64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</row>
    <row r="488" spans="4:43" ht="14.25" customHeight="1" x14ac:dyDescent="0.35">
      <c r="D488" s="63"/>
      <c r="F488" s="64"/>
      <c r="G488" s="65"/>
      <c r="H488" s="64"/>
      <c r="I488" s="64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</row>
    <row r="489" spans="4:43" ht="14.25" customHeight="1" x14ac:dyDescent="0.35">
      <c r="D489" s="63"/>
      <c r="F489" s="64"/>
      <c r="G489" s="65"/>
      <c r="H489" s="64"/>
      <c r="I489" s="64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</row>
    <row r="490" spans="4:43" ht="14.25" customHeight="1" x14ac:dyDescent="0.35">
      <c r="D490" s="63"/>
      <c r="F490" s="64"/>
      <c r="G490" s="65"/>
      <c r="H490" s="64"/>
      <c r="I490" s="64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</row>
    <row r="491" spans="4:43" ht="14.25" customHeight="1" x14ac:dyDescent="0.35">
      <c r="D491" s="63"/>
      <c r="F491" s="64"/>
      <c r="G491" s="65"/>
      <c r="H491" s="64"/>
      <c r="I491" s="64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</row>
    <row r="492" spans="4:43" ht="14.25" customHeight="1" x14ac:dyDescent="0.35">
      <c r="D492" s="63"/>
      <c r="F492" s="64"/>
      <c r="G492" s="65"/>
      <c r="H492" s="64"/>
      <c r="I492" s="64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</row>
    <row r="493" spans="4:43" ht="14.25" customHeight="1" x14ac:dyDescent="0.35">
      <c r="D493" s="63"/>
      <c r="F493" s="64"/>
      <c r="G493" s="65"/>
      <c r="H493" s="64"/>
      <c r="I493" s="64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</row>
    <row r="494" spans="4:43" ht="14.25" customHeight="1" x14ac:dyDescent="0.35">
      <c r="D494" s="63"/>
      <c r="F494" s="64"/>
      <c r="G494" s="65"/>
      <c r="H494" s="64"/>
      <c r="I494" s="64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</row>
    <row r="495" spans="4:43" ht="14.25" customHeight="1" x14ac:dyDescent="0.35">
      <c r="D495" s="63"/>
      <c r="F495" s="64"/>
      <c r="G495" s="65"/>
      <c r="H495" s="64"/>
      <c r="I495" s="64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</row>
    <row r="496" spans="4:43" ht="14.25" customHeight="1" x14ac:dyDescent="0.35">
      <c r="D496" s="63"/>
      <c r="F496" s="64"/>
      <c r="G496" s="65"/>
      <c r="H496" s="64"/>
      <c r="I496" s="64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</row>
    <row r="497" spans="4:43" ht="14.25" customHeight="1" x14ac:dyDescent="0.35">
      <c r="D497" s="63"/>
      <c r="F497" s="64"/>
      <c r="G497" s="65"/>
      <c r="H497" s="64"/>
      <c r="I497" s="64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</row>
    <row r="498" spans="4:43" ht="14.25" customHeight="1" x14ac:dyDescent="0.35">
      <c r="D498" s="63"/>
      <c r="F498" s="64"/>
      <c r="G498" s="65"/>
      <c r="H498" s="64"/>
      <c r="I498" s="64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</row>
    <row r="499" spans="4:43" ht="14.25" customHeight="1" x14ac:dyDescent="0.35">
      <c r="D499" s="63"/>
      <c r="F499" s="64"/>
      <c r="G499" s="65"/>
      <c r="H499" s="64"/>
      <c r="I499" s="64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</row>
    <row r="500" spans="4:43" ht="14.25" customHeight="1" x14ac:dyDescent="0.35">
      <c r="D500" s="63"/>
      <c r="F500" s="64"/>
      <c r="G500" s="65"/>
      <c r="H500" s="64"/>
      <c r="I500" s="64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</row>
    <row r="501" spans="4:43" ht="14.25" customHeight="1" x14ac:dyDescent="0.35">
      <c r="D501" s="63"/>
      <c r="F501" s="64"/>
      <c r="G501" s="65"/>
      <c r="H501" s="64"/>
      <c r="I501" s="64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</row>
    <row r="502" spans="4:43" ht="14.25" customHeight="1" x14ac:dyDescent="0.35">
      <c r="D502" s="63"/>
      <c r="F502" s="64"/>
      <c r="G502" s="65"/>
      <c r="H502" s="64"/>
      <c r="I502" s="64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</row>
    <row r="503" spans="4:43" ht="14.25" customHeight="1" x14ac:dyDescent="0.35">
      <c r="D503" s="63"/>
      <c r="F503" s="64"/>
      <c r="G503" s="65"/>
      <c r="H503" s="64"/>
      <c r="I503" s="64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</row>
    <row r="504" spans="4:43" ht="14.25" customHeight="1" x14ac:dyDescent="0.35">
      <c r="D504" s="63"/>
      <c r="F504" s="64"/>
      <c r="G504" s="65"/>
      <c r="H504" s="64"/>
      <c r="I504" s="64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</row>
    <row r="505" spans="4:43" ht="14.25" customHeight="1" x14ac:dyDescent="0.35">
      <c r="D505" s="63"/>
      <c r="F505" s="64"/>
      <c r="G505" s="65"/>
      <c r="H505" s="64"/>
      <c r="I505" s="64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</row>
    <row r="506" spans="4:43" ht="14.25" customHeight="1" x14ac:dyDescent="0.35">
      <c r="D506" s="63"/>
      <c r="F506" s="64"/>
      <c r="G506" s="65"/>
      <c r="H506" s="64"/>
      <c r="I506" s="64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</row>
    <row r="507" spans="4:43" ht="14.25" customHeight="1" x14ac:dyDescent="0.35">
      <c r="D507" s="63"/>
      <c r="F507" s="64"/>
      <c r="G507" s="65"/>
      <c r="H507" s="64"/>
      <c r="I507" s="64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</row>
    <row r="508" spans="4:43" ht="14.25" customHeight="1" x14ac:dyDescent="0.35">
      <c r="D508" s="63"/>
      <c r="F508" s="64"/>
      <c r="G508" s="65"/>
      <c r="H508" s="64"/>
      <c r="I508" s="64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</row>
    <row r="509" spans="4:43" ht="14.25" customHeight="1" x14ac:dyDescent="0.35">
      <c r="D509" s="63"/>
      <c r="F509" s="64"/>
      <c r="G509" s="65"/>
      <c r="H509" s="64"/>
      <c r="I509" s="64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</row>
    <row r="510" spans="4:43" ht="14.25" customHeight="1" x14ac:dyDescent="0.35">
      <c r="D510" s="63"/>
      <c r="F510" s="64"/>
      <c r="G510" s="65"/>
      <c r="H510" s="64"/>
      <c r="I510" s="64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</row>
    <row r="511" spans="4:43" ht="14.25" customHeight="1" x14ac:dyDescent="0.35">
      <c r="D511" s="63"/>
      <c r="F511" s="64"/>
      <c r="G511" s="65"/>
      <c r="H511" s="64"/>
      <c r="I511" s="64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</row>
    <row r="512" spans="4:43" ht="14.25" customHeight="1" x14ac:dyDescent="0.35">
      <c r="D512" s="63"/>
      <c r="F512" s="64"/>
      <c r="G512" s="65"/>
      <c r="H512" s="64"/>
      <c r="I512" s="64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</row>
    <row r="513" spans="4:43" ht="14.25" customHeight="1" x14ac:dyDescent="0.35">
      <c r="D513" s="63"/>
      <c r="F513" s="64"/>
      <c r="G513" s="65"/>
      <c r="H513" s="64"/>
      <c r="I513" s="64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</row>
    <row r="514" spans="4:43" ht="14.25" customHeight="1" x14ac:dyDescent="0.35">
      <c r="D514" s="63"/>
      <c r="F514" s="64"/>
      <c r="G514" s="65"/>
      <c r="H514" s="64"/>
      <c r="I514" s="64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</row>
    <row r="515" spans="4:43" ht="14.25" customHeight="1" x14ac:dyDescent="0.35">
      <c r="D515" s="63"/>
      <c r="F515" s="64"/>
      <c r="G515" s="65"/>
      <c r="H515" s="64"/>
      <c r="I515" s="64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</row>
    <row r="516" spans="4:43" ht="14.25" customHeight="1" x14ac:dyDescent="0.35">
      <c r="D516" s="63"/>
      <c r="F516" s="64"/>
      <c r="G516" s="65"/>
      <c r="H516" s="64"/>
      <c r="I516" s="64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</row>
    <row r="517" spans="4:43" ht="14.25" customHeight="1" x14ac:dyDescent="0.35">
      <c r="D517" s="63"/>
      <c r="F517" s="64"/>
      <c r="G517" s="65"/>
      <c r="H517" s="64"/>
      <c r="I517" s="64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</row>
    <row r="518" spans="4:43" ht="14.25" customHeight="1" x14ac:dyDescent="0.35">
      <c r="D518" s="63"/>
      <c r="F518" s="64"/>
      <c r="G518" s="65"/>
      <c r="H518" s="64"/>
      <c r="I518" s="64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</row>
    <row r="519" spans="4:43" ht="14.25" customHeight="1" x14ac:dyDescent="0.35">
      <c r="D519" s="63"/>
      <c r="F519" s="64"/>
      <c r="G519" s="65"/>
      <c r="H519" s="64"/>
      <c r="I519" s="64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</row>
    <row r="520" spans="4:43" ht="14.25" customHeight="1" x14ac:dyDescent="0.35">
      <c r="D520" s="63"/>
      <c r="F520" s="64"/>
      <c r="G520" s="65"/>
      <c r="H520" s="64"/>
      <c r="I520" s="64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</row>
    <row r="521" spans="4:43" ht="14.25" customHeight="1" x14ac:dyDescent="0.35">
      <c r="D521" s="63"/>
      <c r="F521" s="64"/>
      <c r="G521" s="65"/>
      <c r="H521" s="64"/>
      <c r="I521" s="64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</row>
    <row r="522" spans="4:43" ht="14.25" customHeight="1" x14ac:dyDescent="0.35">
      <c r="D522" s="63"/>
      <c r="F522" s="64"/>
      <c r="G522" s="65"/>
      <c r="H522" s="64"/>
      <c r="I522" s="64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</row>
    <row r="523" spans="4:43" ht="14.25" customHeight="1" x14ac:dyDescent="0.35">
      <c r="D523" s="63"/>
      <c r="F523" s="64"/>
      <c r="G523" s="65"/>
      <c r="H523" s="64"/>
      <c r="I523" s="64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</row>
    <row r="524" spans="4:43" ht="14.25" customHeight="1" x14ac:dyDescent="0.35">
      <c r="D524" s="63"/>
      <c r="F524" s="64"/>
      <c r="G524" s="65"/>
      <c r="H524" s="64"/>
      <c r="I524" s="64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</row>
    <row r="525" spans="4:43" ht="14.25" customHeight="1" x14ac:dyDescent="0.35">
      <c r="D525" s="63"/>
      <c r="F525" s="64"/>
      <c r="G525" s="65"/>
      <c r="H525" s="64"/>
      <c r="I525" s="64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</row>
    <row r="526" spans="4:43" ht="14.25" customHeight="1" x14ac:dyDescent="0.35">
      <c r="D526" s="63"/>
      <c r="F526" s="64"/>
      <c r="G526" s="65"/>
      <c r="H526" s="64"/>
      <c r="I526" s="64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</row>
    <row r="527" spans="4:43" ht="14.25" customHeight="1" x14ac:dyDescent="0.35">
      <c r="D527" s="63"/>
      <c r="F527" s="64"/>
      <c r="G527" s="65"/>
      <c r="H527" s="64"/>
      <c r="I527" s="64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</row>
    <row r="528" spans="4:43" ht="14.25" customHeight="1" x14ac:dyDescent="0.35">
      <c r="D528" s="63"/>
      <c r="F528" s="64"/>
      <c r="G528" s="65"/>
      <c r="H528" s="64"/>
      <c r="I528" s="64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</row>
    <row r="529" spans="4:43" ht="14.25" customHeight="1" x14ac:dyDescent="0.35">
      <c r="D529" s="63"/>
      <c r="F529" s="64"/>
      <c r="G529" s="65"/>
      <c r="H529" s="64"/>
      <c r="I529" s="64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</row>
    <row r="530" spans="4:43" ht="14.25" customHeight="1" x14ac:dyDescent="0.35">
      <c r="D530" s="63"/>
      <c r="F530" s="64"/>
      <c r="G530" s="65"/>
      <c r="H530" s="64"/>
      <c r="I530" s="64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</row>
    <row r="531" spans="4:43" ht="14.25" customHeight="1" x14ac:dyDescent="0.35">
      <c r="D531" s="63"/>
      <c r="F531" s="64"/>
      <c r="G531" s="65"/>
      <c r="H531" s="64"/>
      <c r="I531" s="64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</row>
    <row r="532" spans="4:43" ht="14.25" customHeight="1" x14ac:dyDescent="0.35">
      <c r="D532" s="63"/>
      <c r="F532" s="64"/>
      <c r="G532" s="65"/>
      <c r="H532" s="64"/>
      <c r="I532" s="64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</row>
    <row r="533" spans="4:43" ht="14.25" customHeight="1" x14ac:dyDescent="0.35">
      <c r="D533" s="63"/>
      <c r="F533" s="64"/>
      <c r="G533" s="65"/>
      <c r="H533" s="64"/>
      <c r="I533" s="64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</row>
    <row r="534" spans="4:43" ht="14.25" customHeight="1" x14ac:dyDescent="0.35">
      <c r="D534" s="63"/>
      <c r="F534" s="64"/>
      <c r="G534" s="65"/>
      <c r="H534" s="64"/>
      <c r="I534" s="64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</row>
    <row r="535" spans="4:43" ht="14.25" customHeight="1" x14ac:dyDescent="0.35">
      <c r="D535" s="63"/>
      <c r="F535" s="64"/>
      <c r="G535" s="65"/>
      <c r="H535" s="64"/>
      <c r="I535" s="64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</row>
    <row r="536" spans="4:43" ht="14.25" customHeight="1" x14ac:dyDescent="0.35">
      <c r="D536" s="63"/>
      <c r="F536" s="64"/>
      <c r="G536" s="65"/>
      <c r="H536" s="64"/>
      <c r="I536" s="64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</row>
    <row r="537" spans="4:43" ht="14.25" customHeight="1" x14ac:dyDescent="0.35">
      <c r="D537" s="63"/>
      <c r="F537" s="64"/>
      <c r="G537" s="65"/>
      <c r="H537" s="64"/>
      <c r="I537" s="64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</row>
    <row r="538" spans="4:43" ht="14.25" customHeight="1" x14ac:dyDescent="0.35">
      <c r="D538" s="63"/>
      <c r="F538" s="64"/>
      <c r="G538" s="65"/>
      <c r="H538" s="64"/>
      <c r="I538" s="64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</row>
    <row r="539" spans="4:43" ht="14.25" customHeight="1" x14ac:dyDescent="0.35">
      <c r="D539" s="63"/>
      <c r="F539" s="64"/>
      <c r="G539" s="65"/>
      <c r="H539" s="64"/>
      <c r="I539" s="64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</row>
    <row r="540" spans="4:43" ht="14.25" customHeight="1" x14ac:dyDescent="0.35">
      <c r="D540" s="63"/>
      <c r="F540" s="64"/>
      <c r="G540" s="65"/>
      <c r="H540" s="64"/>
      <c r="I540" s="64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</row>
    <row r="541" spans="4:43" ht="14.25" customHeight="1" x14ac:dyDescent="0.35">
      <c r="D541" s="63"/>
      <c r="F541" s="64"/>
      <c r="G541" s="65"/>
      <c r="H541" s="64"/>
      <c r="I541" s="64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</row>
    <row r="542" spans="4:43" ht="14.25" customHeight="1" x14ac:dyDescent="0.35">
      <c r="D542" s="63"/>
      <c r="F542" s="64"/>
      <c r="G542" s="65"/>
      <c r="H542" s="64"/>
      <c r="I542" s="64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</row>
    <row r="543" spans="4:43" ht="14.25" customHeight="1" x14ac:dyDescent="0.35">
      <c r="D543" s="63"/>
      <c r="F543" s="64"/>
      <c r="G543" s="65"/>
      <c r="H543" s="64"/>
      <c r="I543" s="64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</row>
    <row r="544" spans="4:43" ht="14.25" customHeight="1" x14ac:dyDescent="0.35">
      <c r="D544" s="63"/>
      <c r="F544" s="64"/>
      <c r="G544" s="65"/>
      <c r="H544" s="64"/>
      <c r="I544" s="64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</row>
    <row r="545" spans="4:43" ht="14.25" customHeight="1" x14ac:dyDescent="0.35">
      <c r="D545" s="63"/>
      <c r="F545" s="64"/>
      <c r="G545" s="65"/>
      <c r="H545" s="64"/>
      <c r="I545" s="64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</row>
    <row r="546" spans="4:43" ht="14.25" customHeight="1" x14ac:dyDescent="0.35">
      <c r="D546" s="63"/>
      <c r="F546" s="64"/>
      <c r="G546" s="65"/>
      <c r="H546" s="64"/>
      <c r="I546" s="64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</row>
    <row r="547" spans="4:43" ht="14.25" customHeight="1" x14ac:dyDescent="0.35">
      <c r="D547" s="63"/>
      <c r="F547" s="64"/>
      <c r="G547" s="65"/>
      <c r="H547" s="64"/>
      <c r="I547" s="64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</row>
    <row r="548" spans="4:43" ht="14.25" customHeight="1" x14ac:dyDescent="0.35">
      <c r="D548" s="63"/>
      <c r="F548" s="64"/>
      <c r="G548" s="65"/>
      <c r="H548" s="64"/>
      <c r="I548" s="64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</row>
    <row r="549" spans="4:43" ht="14.25" customHeight="1" x14ac:dyDescent="0.35">
      <c r="D549" s="63"/>
      <c r="F549" s="64"/>
      <c r="G549" s="65"/>
      <c r="H549" s="64"/>
      <c r="I549" s="64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</row>
    <row r="550" spans="4:43" ht="14.25" customHeight="1" x14ac:dyDescent="0.35">
      <c r="D550" s="63"/>
      <c r="F550" s="64"/>
      <c r="G550" s="65"/>
      <c r="H550" s="64"/>
      <c r="I550" s="64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</row>
    <row r="551" spans="4:43" ht="14.25" customHeight="1" x14ac:dyDescent="0.35">
      <c r="D551" s="63"/>
      <c r="F551" s="64"/>
      <c r="G551" s="65"/>
      <c r="H551" s="64"/>
      <c r="I551" s="64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</row>
    <row r="552" spans="4:43" ht="14.25" customHeight="1" x14ac:dyDescent="0.35">
      <c r="D552" s="63"/>
      <c r="F552" s="64"/>
      <c r="G552" s="65"/>
      <c r="H552" s="64"/>
      <c r="I552" s="64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</row>
    <row r="553" spans="4:43" ht="14.25" customHeight="1" x14ac:dyDescent="0.35">
      <c r="D553" s="63"/>
      <c r="F553" s="64"/>
      <c r="G553" s="65"/>
      <c r="H553" s="64"/>
      <c r="I553" s="64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</row>
    <row r="554" spans="4:43" ht="14.25" customHeight="1" x14ac:dyDescent="0.35">
      <c r="D554" s="63"/>
      <c r="F554" s="64"/>
      <c r="G554" s="65"/>
      <c r="H554" s="64"/>
      <c r="I554" s="64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</row>
    <row r="555" spans="4:43" ht="14.25" customHeight="1" x14ac:dyDescent="0.35">
      <c r="D555" s="63"/>
      <c r="F555" s="64"/>
      <c r="G555" s="65"/>
      <c r="H555" s="64"/>
      <c r="I555" s="64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</row>
    <row r="556" spans="4:43" ht="14.25" customHeight="1" x14ac:dyDescent="0.35">
      <c r="D556" s="63"/>
      <c r="F556" s="64"/>
      <c r="G556" s="65"/>
      <c r="H556" s="64"/>
      <c r="I556" s="64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</row>
    <row r="557" spans="4:43" ht="14.25" customHeight="1" x14ac:dyDescent="0.35">
      <c r="D557" s="63"/>
      <c r="F557" s="64"/>
      <c r="G557" s="65"/>
      <c r="H557" s="64"/>
      <c r="I557" s="64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</row>
    <row r="558" spans="4:43" ht="14.25" customHeight="1" x14ac:dyDescent="0.35">
      <c r="D558" s="63"/>
      <c r="F558" s="64"/>
      <c r="G558" s="65"/>
      <c r="H558" s="64"/>
      <c r="I558" s="64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</row>
    <row r="559" spans="4:43" ht="14.25" customHeight="1" x14ac:dyDescent="0.35">
      <c r="D559" s="63"/>
      <c r="F559" s="64"/>
      <c r="G559" s="65"/>
      <c r="H559" s="64"/>
      <c r="I559" s="64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</row>
    <row r="560" spans="4:43" ht="14.25" customHeight="1" x14ac:dyDescent="0.35">
      <c r="D560" s="63"/>
      <c r="F560" s="64"/>
      <c r="G560" s="65"/>
      <c r="H560" s="64"/>
      <c r="I560" s="64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</row>
    <row r="561" spans="4:43" ht="14.25" customHeight="1" x14ac:dyDescent="0.35">
      <c r="D561" s="63"/>
      <c r="F561" s="64"/>
      <c r="G561" s="65"/>
      <c r="H561" s="64"/>
      <c r="I561" s="64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</row>
    <row r="562" spans="4:43" ht="14.25" customHeight="1" x14ac:dyDescent="0.35">
      <c r="D562" s="63"/>
      <c r="F562" s="64"/>
      <c r="G562" s="65"/>
      <c r="H562" s="64"/>
      <c r="I562" s="64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</row>
    <row r="563" spans="4:43" ht="14.25" customHeight="1" x14ac:dyDescent="0.35">
      <c r="D563" s="63"/>
      <c r="F563" s="64"/>
      <c r="G563" s="65"/>
      <c r="H563" s="64"/>
      <c r="I563" s="64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</row>
    <row r="564" spans="4:43" ht="14.25" customHeight="1" x14ac:dyDescent="0.35">
      <c r="D564" s="63"/>
      <c r="F564" s="64"/>
      <c r="G564" s="65"/>
      <c r="H564" s="64"/>
      <c r="I564" s="64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</row>
    <row r="565" spans="4:43" ht="14.25" customHeight="1" x14ac:dyDescent="0.35">
      <c r="D565" s="63"/>
      <c r="F565" s="64"/>
      <c r="G565" s="65"/>
      <c r="H565" s="64"/>
      <c r="I565" s="64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</row>
    <row r="566" spans="4:43" ht="14.25" customHeight="1" x14ac:dyDescent="0.35">
      <c r="D566" s="63"/>
      <c r="F566" s="64"/>
      <c r="G566" s="65"/>
      <c r="H566" s="64"/>
      <c r="I566" s="64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</row>
    <row r="567" spans="4:43" ht="14.25" customHeight="1" x14ac:dyDescent="0.35">
      <c r="D567" s="63"/>
      <c r="F567" s="64"/>
      <c r="G567" s="65"/>
      <c r="H567" s="64"/>
      <c r="I567" s="64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</row>
    <row r="568" spans="4:43" ht="14.25" customHeight="1" x14ac:dyDescent="0.35">
      <c r="D568" s="63"/>
      <c r="F568" s="64"/>
      <c r="G568" s="65"/>
      <c r="H568" s="64"/>
      <c r="I568" s="64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</row>
    <row r="569" spans="4:43" ht="14.25" customHeight="1" x14ac:dyDescent="0.35">
      <c r="D569" s="63"/>
      <c r="F569" s="64"/>
      <c r="G569" s="65"/>
      <c r="H569" s="64"/>
      <c r="I569" s="64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</row>
    <row r="570" spans="4:43" ht="14.25" customHeight="1" x14ac:dyDescent="0.35">
      <c r="D570" s="63"/>
      <c r="F570" s="64"/>
      <c r="G570" s="65"/>
      <c r="H570" s="64"/>
      <c r="I570" s="64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</row>
    <row r="571" spans="4:43" ht="14.25" customHeight="1" x14ac:dyDescent="0.35">
      <c r="D571" s="63"/>
      <c r="F571" s="64"/>
      <c r="G571" s="65"/>
      <c r="H571" s="64"/>
      <c r="I571" s="64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</row>
    <row r="572" spans="4:43" ht="14.25" customHeight="1" x14ac:dyDescent="0.35">
      <c r="D572" s="63"/>
      <c r="F572" s="64"/>
      <c r="G572" s="65"/>
      <c r="H572" s="64"/>
      <c r="I572" s="64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</row>
    <row r="573" spans="4:43" ht="14.25" customHeight="1" x14ac:dyDescent="0.35">
      <c r="D573" s="63"/>
      <c r="F573" s="64"/>
      <c r="G573" s="65"/>
      <c r="H573" s="64"/>
      <c r="I573" s="64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</row>
    <row r="574" spans="4:43" ht="14.25" customHeight="1" x14ac:dyDescent="0.35">
      <c r="D574" s="63"/>
      <c r="F574" s="64"/>
      <c r="G574" s="65"/>
      <c r="H574" s="64"/>
      <c r="I574" s="64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</row>
    <row r="575" spans="4:43" ht="14.25" customHeight="1" x14ac:dyDescent="0.35">
      <c r="D575" s="63"/>
      <c r="F575" s="64"/>
      <c r="G575" s="65"/>
      <c r="H575" s="64"/>
      <c r="I575" s="64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</row>
    <row r="576" spans="4:43" ht="14.25" customHeight="1" x14ac:dyDescent="0.35">
      <c r="D576" s="63"/>
      <c r="F576" s="64"/>
      <c r="G576" s="65"/>
      <c r="H576" s="64"/>
      <c r="I576" s="64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</row>
    <row r="577" spans="4:43" ht="14.25" customHeight="1" x14ac:dyDescent="0.35">
      <c r="D577" s="63"/>
      <c r="F577" s="64"/>
      <c r="G577" s="65"/>
      <c r="H577" s="64"/>
      <c r="I577" s="64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</row>
    <row r="578" spans="4:43" ht="14.25" customHeight="1" x14ac:dyDescent="0.35">
      <c r="D578" s="63"/>
      <c r="F578" s="64"/>
      <c r="G578" s="65"/>
      <c r="H578" s="64"/>
      <c r="I578" s="64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</row>
    <row r="579" spans="4:43" ht="14.25" customHeight="1" x14ac:dyDescent="0.35">
      <c r="D579" s="63"/>
      <c r="F579" s="64"/>
      <c r="G579" s="65"/>
      <c r="H579" s="64"/>
      <c r="I579" s="64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</row>
    <row r="580" spans="4:43" ht="14.25" customHeight="1" x14ac:dyDescent="0.35">
      <c r="D580" s="63"/>
      <c r="F580" s="64"/>
      <c r="G580" s="65"/>
      <c r="H580" s="64"/>
      <c r="I580" s="64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</row>
    <row r="581" spans="4:43" ht="14.25" customHeight="1" x14ac:dyDescent="0.35">
      <c r="D581" s="63"/>
      <c r="F581" s="64"/>
      <c r="G581" s="65"/>
      <c r="H581" s="64"/>
      <c r="I581" s="64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</row>
    <row r="582" spans="4:43" ht="14.25" customHeight="1" x14ac:dyDescent="0.35">
      <c r="D582" s="63"/>
      <c r="F582" s="64"/>
      <c r="G582" s="65"/>
      <c r="H582" s="64"/>
      <c r="I582" s="64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</row>
    <row r="583" spans="4:43" ht="14.25" customHeight="1" x14ac:dyDescent="0.35">
      <c r="D583" s="63"/>
      <c r="F583" s="64"/>
      <c r="G583" s="65"/>
      <c r="H583" s="64"/>
      <c r="I583" s="64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</row>
    <row r="584" spans="4:43" ht="14.25" customHeight="1" x14ac:dyDescent="0.35">
      <c r="D584" s="63"/>
      <c r="F584" s="64"/>
      <c r="G584" s="65"/>
      <c r="H584" s="64"/>
      <c r="I584" s="64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</row>
    <row r="585" spans="4:43" ht="14.25" customHeight="1" x14ac:dyDescent="0.35">
      <c r="D585" s="63"/>
      <c r="F585" s="64"/>
      <c r="G585" s="65"/>
      <c r="H585" s="64"/>
      <c r="I585" s="64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</row>
    <row r="586" spans="4:43" ht="14.25" customHeight="1" x14ac:dyDescent="0.35">
      <c r="D586" s="63"/>
      <c r="F586" s="64"/>
      <c r="G586" s="65"/>
      <c r="H586" s="64"/>
      <c r="I586" s="64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</row>
    <row r="587" spans="4:43" ht="14.25" customHeight="1" x14ac:dyDescent="0.35">
      <c r="D587" s="63"/>
      <c r="F587" s="64"/>
      <c r="G587" s="65"/>
      <c r="H587" s="64"/>
      <c r="I587" s="64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</row>
    <row r="588" spans="4:43" ht="14.25" customHeight="1" x14ac:dyDescent="0.35">
      <c r="D588" s="63"/>
      <c r="F588" s="64"/>
      <c r="G588" s="65"/>
      <c r="H588" s="64"/>
      <c r="I588" s="64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</row>
    <row r="589" spans="4:43" ht="14.25" customHeight="1" x14ac:dyDescent="0.35">
      <c r="D589" s="63"/>
      <c r="F589" s="64"/>
      <c r="G589" s="65"/>
      <c r="H589" s="64"/>
      <c r="I589" s="64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</row>
    <row r="590" spans="4:43" ht="14.25" customHeight="1" x14ac:dyDescent="0.35">
      <c r="D590" s="63"/>
      <c r="F590" s="64"/>
      <c r="G590" s="65"/>
      <c r="H590" s="64"/>
      <c r="I590" s="64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</row>
    <row r="591" spans="4:43" ht="14.25" customHeight="1" x14ac:dyDescent="0.35">
      <c r="D591" s="63"/>
      <c r="F591" s="64"/>
      <c r="G591" s="65"/>
      <c r="H591" s="64"/>
      <c r="I591" s="64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</row>
    <row r="592" spans="4:43" ht="14.25" customHeight="1" x14ac:dyDescent="0.35">
      <c r="D592" s="63"/>
      <c r="F592" s="64"/>
      <c r="G592" s="65"/>
      <c r="H592" s="64"/>
      <c r="I592" s="64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</row>
    <row r="593" spans="4:43" ht="14.25" customHeight="1" x14ac:dyDescent="0.35">
      <c r="D593" s="63"/>
      <c r="F593" s="64"/>
      <c r="G593" s="65"/>
      <c r="H593" s="64"/>
      <c r="I593" s="64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</row>
    <row r="594" spans="4:43" ht="14.25" customHeight="1" x14ac:dyDescent="0.35">
      <c r="D594" s="63"/>
      <c r="F594" s="64"/>
      <c r="G594" s="65"/>
      <c r="H594" s="64"/>
      <c r="I594" s="64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</row>
    <row r="595" spans="4:43" ht="14.25" customHeight="1" x14ac:dyDescent="0.35">
      <c r="D595" s="63"/>
      <c r="F595" s="64"/>
      <c r="G595" s="65"/>
      <c r="H595" s="64"/>
      <c r="I595" s="64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</row>
    <row r="596" spans="4:43" ht="14.25" customHeight="1" x14ac:dyDescent="0.35">
      <c r="D596" s="63"/>
      <c r="F596" s="64"/>
      <c r="G596" s="65"/>
      <c r="H596" s="64"/>
      <c r="I596" s="64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</row>
    <row r="597" spans="4:43" ht="14.25" customHeight="1" x14ac:dyDescent="0.35">
      <c r="D597" s="63"/>
      <c r="F597" s="64"/>
      <c r="G597" s="65"/>
      <c r="H597" s="64"/>
      <c r="I597" s="64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</row>
    <row r="598" spans="4:43" ht="14.25" customHeight="1" x14ac:dyDescent="0.35">
      <c r="D598" s="63"/>
      <c r="F598" s="64"/>
      <c r="G598" s="65"/>
      <c r="H598" s="64"/>
      <c r="I598" s="64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</row>
    <row r="599" spans="4:43" ht="14.25" customHeight="1" x14ac:dyDescent="0.35">
      <c r="D599" s="63"/>
      <c r="F599" s="64"/>
      <c r="G599" s="65"/>
      <c r="H599" s="64"/>
      <c r="I599" s="64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</row>
    <row r="600" spans="4:43" ht="14.25" customHeight="1" x14ac:dyDescent="0.35">
      <c r="D600" s="63"/>
      <c r="F600" s="64"/>
      <c r="G600" s="65"/>
      <c r="H600" s="64"/>
      <c r="I600" s="64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</row>
    <row r="601" spans="4:43" ht="14.25" customHeight="1" x14ac:dyDescent="0.35">
      <c r="D601" s="63"/>
      <c r="F601" s="64"/>
      <c r="G601" s="65"/>
      <c r="H601" s="64"/>
      <c r="I601" s="64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</row>
    <row r="602" spans="4:43" ht="14.25" customHeight="1" x14ac:dyDescent="0.35">
      <c r="D602" s="63"/>
      <c r="F602" s="64"/>
      <c r="G602" s="65"/>
      <c r="H602" s="64"/>
      <c r="I602" s="64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</row>
    <row r="603" spans="4:43" ht="14.25" customHeight="1" x14ac:dyDescent="0.35">
      <c r="D603" s="63"/>
      <c r="F603" s="64"/>
      <c r="G603" s="65"/>
      <c r="H603" s="64"/>
      <c r="I603" s="64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</row>
    <row r="604" spans="4:43" ht="14.25" customHeight="1" x14ac:dyDescent="0.35">
      <c r="D604" s="63"/>
      <c r="F604" s="64"/>
      <c r="G604" s="65"/>
      <c r="H604" s="64"/>
      <c r="I604" s="64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</row>
    <row r="605" spans="4:43" ht="14.25" customHeight="1" x14ac:dyDescent="0.35">
      <c r="D605" s="63"/>
      <c r="F605" s="64"/>
      <c r="G605" s="65"/>
      <c r="H605" s="64"/>
      <c r="I605" s="64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</row>
    <row r="606" spans="4:43" ht="14.25" customHeight="1" x14ac:dyDescent="0.35">
      <c r="D606" s="63"/>
      <c r="F606" s="64"/>
      <c r="G606" s="65"/>
      <c r="H606" s="64"/>
      <c r="I606" s="64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</row>
    <row r="607" spans="4:43" ht="14.25" customHeight="1" x14ac:dyDescent="0.35">
      <c r="D607" s="63"/>
      <c r="F607" s="64"/>
      <c r="G607" s="65"/>
      <c r="H607" s="64"/>
      <c r="I607" s="64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</row>
    <row r="608" spans="4:43" ht="14.25" customHeight="1" x14ac:dyDescent="0.35">
      <c r="D608" s="63"/>
      <c r="F608" s="64"/>
      <c r="G608" s="65"/>
      <c r="H608" s="64"/>
      <c r="I608" s="64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</row>
    <row r="609" spans="4:43" ht="14.25" customHeight="1" x14ac:dyDescent="0.35">
      <c r="D609" s="63"/>
      <c r="F609" s="64"/>
      <c r="G609" s="65"/>
      <c r="H609" s="64"/>
      <c r="I609" s="64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</row>
    <row r="610" spans="4:43" ht="14.25" customHeight="1" x14ac:dyDescent="0.35">
      <c r="D610" s="63"/>
      <c r="F610" s="64"/>
      <c r="G610" s="65"/>
      <c r="H610" s="64"/>
      <c r="I610" s="64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</row>
    <row r="611" spans="4:43" ht="14.25" customHeight="1" x14ac:dyDescent="0.35">
      <c r="D611" s="63"/>
      <c r="F611" s="64"/>
      <c r="G611" s="65"/>
      <c r="H611" s="64"/>
      <c r="I611" s="64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</row>
    <row r="612" spans="4:43" ht="14.25" customHeight="1" x14ac:dyDescent="0.35">
      <c r="D612" s="63"/>
      <c r="F612" s="64"/>
      <c r="G612" s="65"/>
      <c r="H612" s="64"/>
      <c r="I612" s="64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</row>
    <row r="613" spans="4:43" ht="14.25" customHeight="1" x14ac:dyDescent="0.35">
      <c r="D613" s="63"/>
      <c r="F613" s="64"/>
      <c r="G613" s="65"/>
      <c r="H613" s="64"/>
      <c r="I613" s="64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</row>
    <row r="614" spans="4:43" ht="14.25" customHeight="1" x14ac:dyDescent="0.35">
      <c r="D614" s="63"/>
      <c r="F614" s="64"/>
      <c r="G614" s="65"/>
      <c r="H614" s="64"/>
      <c r="I614" s="64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</row>
    <row r="615" spans="4:43" ht="14.25" customHeight="1" x14ac:dyDescent="0.35">
      <c r="D615" s="63"/>
      <c r="F615" s="64"/>
      <c r="G615" s="65"/>
      <c r="H615" s="64"/>
      <c r="I615" s="64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</row>
    <row r="616" spans="4:43" ht="14.25" customHeight="1" x14ac:dyDescent="0.35">
      <c r="D616" s="63"/>
      <c r="F616" s="64"/>
      <c r="G616" s="65"/>
      <c r="H616" s="64"/>
      <c r="I616" s="64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</row>
    <row r="617" spans="4:43" ht="14.25" customHeight="1" x14ac:dyDescent="0.35">
      <c r="D617" s="63"/>
      <c r="F617" s="64"/>
      <c r="G617" s="65"/>
      <c r="H617" s="64"/>
      <c r="I617" s="64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</row>
    <row r="618" spans="4:43" ht="14.25" customHeight="1" x14ac:dyDescent="0.35">
      <c r="D618" s="63"/>
      <c r="F618" s="64"/>
      <c r="G618" s="65"/>
      <c r="H618" s="64"/>
      <c r="I618" s="64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</row>
    <row r="619" spans="4:43" ht="14.25" customHeight="1" x14ac:dyDescent="0.35">
      <c r="D619" s="63"/>
      <c r="F619" s="64"/>
      <c r="G619" s="65"/>
      <c r="H619" s="64"/>
      <c r="I619" s="64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</row>
    <row r="620" spans="4:43" ht="14.25" customHeight="1" x14ac:dyDescent="0.35">
      <c r="D620" s="63"/>
      <c r="F620" s="64"/>
      <c r="G620" s="65"/>
      <c r="H620" s="64"/>
      <c r="I620" s="64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</row>
    <row r="621" spans="4:43" ht="14.25" customHeight="1" x14ac:dyDescent="0.35">
      <c r="D621" s="63"/>
      <c r="F621" s="64"/>
      <c r="G621" s="65"/>
      <c r="H621" s="64"/>
      <c r="I621" s="64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</row>
    <row r="622" spans="4:43" ht="14.25" customHeight="1" x14ac:dyDescent="0.35">
      <c r="D622" s="63"/>
      <c r="F622" s="64"/>
      <c r="G622" s="65"/>
      <c r="H622" s="64"/>
      <c r="I622" s="64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</row>
    <row r="623" spans="4:43" ht="14.25" customHeight="1" x14ac:dyDescent="0.35">
      <c r="D623" s="63"/>
      <c r="F623" s="64"/>
      <c r="G623" s="65"/>
      <c r="H623" s="64"/>
      <c r="I623" s="64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</row>
    <row r="624" spans="4:43" ht="14.25" customHeight="1" x14ac:dyDescent="0.35">
      <c r="D624" s="63"/>
      <c r="F624" s="64"/>
      <c r="G624" s="65"/>
      <c r="H624" s="64"/>
      <c r="I624" s="64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</row>
    <row r="625" spans="4:43" ht="14.25" customHeight="1" x14ac:dyDescent="0.35">
      <c r="D625" s="63"/>
      <c r="F625" s="64"/>
      <c r="G625" s="65"/>
      <c r="H625" s="64"/>
      <c r="I625" s="64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</row>
    <row r="626" spans="4:43" ht="14.25" customHeight="1" x14ac:dyDescent="0.35">
      <c r="D626" s="63"/>
      <c r="F626" s="64"/>
      <c r="G626" s="65"/>
      <c r="H626" s="64"/>
      <c r="I626" s="64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</row>
    <row r="627" spans="4:43" ht="14.25" customHeight="1" x14ac:dyDescent="0.35">
      <c r="D627" s="63"/>
      <c r="F627" s="64"/>
      <c r="G627" s="65"/>
      <c r="H627" s="64"/>
      <c r="I627" s="64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</row>
    <row r="628" spans="4:43" ht="14.25" customHeight="1" x14ac:dyDescent="0.35">
      <c r="D628" s="63"/>
      <c r="F628" s="64"/>
      <c r="G628" s="65"/>
      <c r="H628" s="64"/>
      <c r="I628" s="64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</row>
    <row r="629" spans="4:43" ht="14.25" customHeight="1" x14ac:dyDescent="0.35">
      <c r="D629" s="63"/>
      <c r="F629" s="64"/>
      <c r="G629" s="65"/>
      <c r="H629" s="64"/>
      <c r="I629" s="64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</row>
    <row r="630" spans="4:43" ht="14.25" customHeight="1" x14ac:dyDescent="0.35">
      <c r="D630" s="63"/>
      <c r="F630" s="64"/>
      <c r="G630" s="65"/>
      <c r="H630" s="64"/>
      <c r="I630" s="64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</row>
    <row r="631" spans="4:43" ht="14.25" customHeight="1" x14ac:dyDescent="0.35">
      <c r="D631" s="63"/>
      <c r="F631" s="64"/>
      <c r="G631" s="65"/>
      <c r="H631" s="64"/>
      <c r="I631" s="64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</row>
    <row r="632" spans="4:43" ht="14.25" customHeight="1" x14ac:dyDescent="0.35">
      <c r="D632" s="63"/>
      <c r="F632" s="64"/>
      <c r="G632" s="65"/>
      <c r="H632" s="64"/>
      <c r="I632" s="64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</row>
    <row r="633" spans="4:43" ht="14.25" customHeight="1" x14ac:dyDescent="0.35">
      <c r="D633" s="63"/>
      <c r="F633" s="64"/>
      <c r="G633" s="65"/>
      <c r="H633" s="64"/>
      <c r="I633" s="64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</row>
    <row r="634" spans="4:43" ht="14.25" customHeight="1" x14ac:dyDescent="0.35">
      <c r="D634" s="63"/>
      <c r="F634" s="64"/>
      <c r="G634" s="65"/>
      <c r="H634" s="64"/>
      <c r="I634" s="64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</row>
    <row r="635" spans="4:43" ht="14.25" customHeight="1" x14ac:dyDescent="0.35">
      <c r="D635" s="63"/>
      <c r="F635" s="64"/>
      <c r="G635" s="65"/>
      <c r="H635" s="64"/>
      <c r="I635" s="64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</row>
    <row r="636" spans="4:43" ht="14.25" customHeight="1" x14ac:dyDescent="0.35">
      <c r="D636" s="63"/>
      <c r="F636" s="64"/>
      <c r="G636" s="65"/>
      <c r="H636" s="64"/>
      <c r="I636" s="64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</row>
    <row r="637" spans="4:43" ht="14.25" customHeight="1" x14ac:dyDescent="0.35">
      <c r="D637" s="63"/>
      <c r="F637" s="64"/>
      <c r="G637" s="65"/>
      <c r="H637" s="64"/>
      <c r="I637" s="64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</row>
    <row r="638" spans="4:43" ht="14.25" customHeight="1" x14ac:dyDescent="0.35">
      <c r="D638" s="63"/>
      <c r="F638" s="64"/>
      <c r="G638" s="65"/>
      <c r="H638" s="64"/>
      <c r="I638" s="64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</row>
    <row r="639" spans="4:43" ht="14.25" customHeight="1" x14ac:dyDescent="0.35">
      <c r="D639" s="63"/>
      <c r="F639" s="64"/>
      <c r="G639" s="65"/>
      <c r="H639" s="64"/>
      <c r="I639" s="64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</row>
    <row r="640" spans="4:43" ht="14.25" customHeight="1" x14ac:dyDescent="0.35">
      <c r="D640" s="63"/>
      <c r="F640" s="64"/>
      <c r="G640" s="65"/>
      <c r="H640" s="64"/>
      <c r="I640" s="64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</row>
    <row r="641" spans="4:43" ht="14.25" customHeight="1" x14ac:dyDescent="0.35">
      <c r="D641" s="63"/>
      <c r="F641" s="64"/>
      <c r="G641" s="65"/>
      <c r="H641" s="64"/>
      <c r="I641" s="64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</row>
    <row r="642" spans="4:43" ht="14.25" customHeight="1" x14ac:dyDescent="0.35">
      <c r="D642" s="63"/>
      <c r="F642" s="64"/>
      <c r="G642" s="65"/>
      <c r="H642" s="64"/>
      <c r="I642" s="64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</row>
    <row r="643" spans="4:43" ht="14.25" customHeight="1" x14ac:dyDescent="0.35">
      <c r="D643" s="63"/>
      <c r="F643" s="64"/>
      <c r="G643" s="65"/>
      <c r="H643" s="64"/>
      <c r="I643" s="64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</row>
    <row r="644" spans="4:43" ht="14.25" customHeight="1" x14ac:dyDescent="0.35">
      <c r="D644" s="63"/>
      <c r="F644" s="64"/>
      <c r="G644" s="65"/>
      <c r="H644" s="64"/>
      <c r="I644" s="64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</row>
    <row r="645" spans="4:43" ht="14.25" customHeight="1" x14ac:dyDescent="0.35">
      <c r="D645" s="63"/>
      <c r="F645" s="64"/>
      <c r="G645" s="65"/>
      <c r="H645" s="64"/>
      <c r="I645" s="64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</row>
    <row r="646" spans="4:43" ht="14.25" customHeight="1" x14ac:dyDescent="0.35">
      <c r="D646" s="63"/>
      <c r="F646" s="64"/>
      <c r="G646" s="65"/>
      <c r="H646" s="64"/>
      <c r="I646" s="64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</row>
    <row r="647" spans="4:43" ht="14.25" customHeight="1" x14ac:dyDescent="0.35">
      <c r="D647" s="63"/>
      <c r="F647" s="64"/>
      <c r="G647" s="65"/>
      <c r="H647" s="64"/>
      <c r="I647" s="64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</row>
    <row r="648" spans="4:43" ht="14.25" customHeight="1" x14ac:dyDescent="0.35">
      <c r="D648" s="63"/>
      <c r="F648" s="64"/>
      <c r="G648" s="65"/>
      <c r="H648" s="64"/>
      <c r="I648" s="64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</row>
    <row r="649" spans="4:43" ht="14.25" customHeight="1" x14ac:dyDescent="0.35">
      <c r="D649" s="63"/>
      <c r="F649" s="64"/>
      <c r="G649" s="65"/>
      <c r="H649" s="64"/>
      <c r="I649" s="64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</row>
    <row r="650" spans="4:43" ht="14.25" customHeight="1" x14ac:dyDescent="0.35">
      <c r="D650" s="63"/>
      <c r="F650" s="64"/>
      <c r="G650" s="65"/>
      <c r="H650" s="64"/>
      <c r="I650" s="64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</row>
    <row r="651" spans="4:43" ht="14.25" customHeight="1" x14ac:dyDescent="0.35">
      <c r="D651" s="63"/>
      <c r="F651" s="64"/>
      <c r="G651" s="65"/>
      <c r="H651" s="64"/>
      <c r="I651" s="64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</row>
    <row r="652" spans="4:43" ht="14.25" customHeight="1" x14ac:dyDescent="0.35">
      <c r="D652" s="63"/>
      <c r="F652" s="64"/>
      <c r="G652" s="65"/>
      <c r="H652" s="64"/>
      <c r="I652" s="64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</row>
    <row r="653" spans="4:43" ht="14.25" customHeight="1" x14ac:dyDescent="0.35">
      <c r="D653" s="63"/>
      <c r="F653" s="64"/>
      <c r="G653" s="65"/>
      <c r="H653" s="64"/>
      <c r="I653" s="64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</row>
    <row r="654" spans="4:43" ht="14.25" customHeight="1" x14ac:dyDescent="0.35">
      <c r="D654" s="63"/>
      <c r="F654" s="64"/>
      <c r="G654" s="65"/>
      <c r="H654" s="64"/>
      <c r="I654" s="64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</row>
    <row r="655" spans="4:43" ht="14.25" customHeight="1" x14ac:dyDescent="0.35">
      <c r="D655" s="63"/>
      <c r="F655" s="64"/>
      <c r="G655" s="65"/>
      <c r="H655" s="64"/>
      <c r="I655" s="64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</row>
    <row r="656" spans="4:43" ht="14.25" customHeight="1" x14ac:dyDescent="0.35">
      <c r="D656" s="63"/>
      <c r="F656" s="64"/>
      <c r="G656" s="65"/>
      <c r="H656" s="64"/>
      <c r="I656" s="64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</row>
    <row r="657" spans="4:43" ht="14.25" customHeight="1" x14ac:dyDescent="0.35">
      <c r="D657" s="63"/>
      <c r="F657" s="64"/>
      <c r="G657" s="65"/>
      <c r="H657" s="64"/>
      <c r="I657" s="64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</row>
    <row r="658" spans="4:43" ht="14.25" customHeight="1" x14ac:dyDescent="0.35">
      <c r="D658" s="63"/>
      <c r="F658" s="64"/>
      <c r="G658" s="65"/>
      <c r="H658" s="64"/>
      <c r="I658" s="64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</row>
    <row r="659" spans="4:43" ht="14.25" customHeight="1" x14ac:dyDescent="0.35">
      <c r="D659" s="63"/>
      <c r="F659" s="64"/>
      <c r="G659" s="65"/>
      <c r="H659" s="64"/>
      <c r="I659" s="64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</row>
    <row r="660" spans="4:43" ht="14.25" customHeight="1" x14ac:dyDescent="0.35">
      <c r="D660" s="63"/>
      <c r="F660" s="64"/>
      <c r="G660" s="65"/>
      <c r="H660" s="64"/>
      <c r="I660" s="64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</row>
    <row r="661" spans="4:43" ht="14.25" customHeight="1" x14ac:dyDescent="0.35">
      <c r="D661" s="63"/>
      <c r="F661" s="64"/>
      <c r="G661" s="65"/>
      <c r="H661" s="64"/>
      <c r="I661" s="64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</row>
    <row r="662" spans="4:43" ht="14.25" customHeight="1" x14ac:dyDescent="0.35">
      <c r="D662" s="63"/>
      <c r="F662" s="64"/>
      <c r="G662" s="65"/>
      <c r="H662" s="64"/>
      <c r="I662" s="64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</row>
    <row r="663" spans="4:43" ht="14.25" customHeight="1" x14ac:dyDescent="0.35">
      <c r="D663" s="63"/>
      <c r="F663" s="64"/>
      <c r="G663" s="65"/>
      <c r="H663" s="64"/>
      <c r="I663" s="64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</row>
    <row r="664" spans="4:43" ht="14.25" customHeight="1" x14ac:dyDescent="0.35">
      <c r="D664" s="63"/>
      <c r="F664" s="64"/>
      <c r="G664" s="65"/>
      <c r="H664" s="64"/>
      <c r="I664" s="64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</row>
    <row r="665" spans="4:43" ht="14.25" customHeight="1" x14ac:dyDescent="0.35">
      <c r="D665" s="63"/>
      <c r="F665" s="64"/>
      <c r="G665" s="65"/>
      <c r="H665" s="64"/>
      <c r="I665" s="64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</row>
    <row r="666" spans="4:43" ht="14.25" customHeight="1" x14ac:dyDescent="0.35">
      <c r="D666" s="63"/>
      <c r="F666" s="64"/>
      <c r="G666" s="65"/>
      <c r="H666" s="64"/>
      <c r="I666" s="64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</row>
    <row r="667" spans="4:43" ht="14.25" customHeight="1" x14ac:dyDescent="0.35">
      <c r="D667" s="63"/>
      <c r="F667" s="64"/>
      <c r="G667" s="65"/>
      <c r="H667" s="64"/>
      <c r="I667" s="64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</row>
    <row r="668" spans="4:43" ht="14.25" customHeight="1" x14ac:dyDescent="0.35">
      <c r="D668" s="63"/>
      <c r="F668" s="64"/>
      <c r="G668" s="65"/>
      <c r="H668" s="64"/>
      <c r="I668" s="64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</row>
    <row r="669" spans="4:43" ht="14.25" customHeight="1" x14ac:dyDescent="0.35">
      <c r="D669" s="63"/>
      <c r="F669" s="64"/>
      <c r="G669" s="65"/>
      <c r="H669" s="64"/>
      <c r="I669" s="64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</row>
    <row r="670" spans="4:43" ht="14.25" customHeight="1" x14ac:dyDescent="0.35">
      <c r="D670" s="63"/>
      <c r="F670" s="64"/>
      <c r="G670" s="65"/>
      <c r="H670" s="64"/>
      <c r="I670" s="64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</row>
    <row r="671" spans="4:43" ht="14.25" customHeight="1" x14ac:dyDescent="0.35">
      <c r="D671" s="63"/>
      <c r="F671" s="64"/>
      <c r="G671" s="65"/>
      <c r="H671" s="64"/>
      <c r="I671" s="64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</row>
    <row r="672" spans="4:43" ht="14.25" customHeight="1" x14ac:dyDescent="0.35">
      <c r="D672" s="63"/>
      <c r="F672" s="64"/>
      <c r="G672" s="65"/>
      <c r="H672" s="64"/>
      <c r="I672" s="64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</row>
    <row r="673" spans="4:43" ht="14.25" customHeight="1" x14ac:dyDescent="0.35">
      <c r="D673" s="63"/>
      <c r="F673" s="64"/>
      <c r="G673" s="65"/>
      <c r="H673" s="64"/>
      <c r="I673" s="64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</row>
    <row r="674" spans="4:43" ht="14.25" customHeight="1" x14ac:dyDescent="0.35">
      <c r="D674" s="63"/>
      <c r="F674" s="64"/>
      <c r="G674" s="65"/>
      <c r="H674" s="64"/>
      <c r="I674" s="64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</row>
    <row r="675" spans="4:43" ht="14.25" customHeight="1" x14ac:dyDescent="0.35">
      <c r="D675" s="63"/>
      <c r="F675" s="64"/>
      <c r="G675" s="65"/>
      <c r="H675" s="64"/>
      <c r="I675" s="64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</row>
    <row r="676" spans="4:43" ht="14.25" customHeight="1" x14ac:dyDescent="0.35">
      <c r="D676" s="63"/>
      <c r="F676" s="64"/>
      <c r="G676" s="65"/>
      <c r="H676" s="64"/>
      <c r="I676" s="64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</row>
    <row r="677" spans="4:43" ht="14.25" customHeight="1" x14ac:dyDescent="0.35">
      <c r="D677" s="63"/>
      <c r="F677" s="64"/>
      <c r="G677" s="65"/>
      <c r="H677" s="64"/>
      <c r="I677" s="64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</row>
    <row r="678" spans="4:43" ht="14.25" customHeight="1" x14ac:dyDescent="0.35">
      <c r="D678" s="63"/>
      <c r="F678" s="64"/>
      <c r="G678" s="65"/>
      <c r="H678" s="64"/>
      <c r="I678" s="64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</row>
    <row r="679" spans="4:43" ht="14.25" customHeight="1" x14ac:dyDescent="0.35">
      <c r="D679" s="63"/>
      <c r="F679" s="64"/>
      <c r="G679" s="65"/>
      <c r="H679" s="64"/>
      <c r="I679" s="64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</row>
    <row r="680" spans="4:43" ht="14.25" customHeight="1" x14ac:dyDescent="0.35">
      <c r="D680" s="63"/>
      <c r="F680" s="64"/>
      <c r="G680" s="65"/>
      <c r="H680" s="64"/>
      <c r="I680" s="64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</row>
    <row r="681" spans="4:43" ht="14.25" customHeight="1" x14ac:dyDescent="0.35">
      <c r="D681" s="63"/>
      <c r="F681" s="64"/>
      <c r="G681" s="65"/>
      <c r="H681" s="64"/>
      <c r="I681" s="64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</row>
    <row r="682" spans="4:43" ht="14.25" customHeight="1" x14ac:dyDescent="0.35">
      <c r="D682" s="63"/>
      <c r="F682" s="64"/>
      <c r="G682" s="65"/>
      <c r="H682" s="64"/>
      <c r="I682" s="64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</row>
    <row r="683" spans="4:43" ht="14.25" customHeight="1" x14ac:dyDescent="0.35">
      <c r="D683" s="63"/>
      <c r="F683" s="64"/>
      <c r="G683" s="65"/>
      <c r="H683" s="64"/>
      <c r="I683" s="64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</row>
    <row r="684" spans="4:43" ht="14.25" customHeight="1" x14ac:dyDescent="0.35">
      <c r="D684" s="63"/>
      <c r="F684" s="64"/>
      <c r="G684" s="65"/>
      <c r="H684" s="64"/>
      <c r="I684" s="64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</row>
    <row r="685" spans="4:43" ht="14.25" customHeight="1" x14ac:dyDescent="0.35">
      <c r="D685" s="63"/>
      <c r="F685" s="64"/>
      <c r="G685" s="65"/>
      <c r="H685" s="64"/>
      <c r="I685" s="64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</row>
    <row r="686" spans="4:43" ht="14.25" customHeight="1" x14ac:dyDescent="0.35">
      <c r="D686" s="63"/>
      <c r="F686" s="64"/>
      <c r="G686" s="65"/>
      <c r="H686" s="64"/>
      <c r="I686" s="64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</row>
    <row r="687" spans="4:43" ht="14.25" customHeight="1" x14ac:dyDescent="0.35">
      <c r="D687" s="63"/>
      <c r="F687" s="64"/>
      <c r="G687" s="65"/>
      <c r="H687" s="64"/>
      <c r="I687" s="64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</row>
    <row r="688" spans="4:43" ht="14.25" customHeight="1" x14ac:dyDescent="0.35">
      <c r="D688" s="63"/>
      <c r="F688" s="64"/>
      <c r="G688" s="65"/>
      <c r="H688" s="64"/>
      <c r="I688" s="64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</row>
    <row r="689" spans="4:43" ht="14.25" customHeight="1" x14ac:dyDescent="0.35">
      <c r="D689" s="63"/>
      <c r="F689" s="64"/>
      <c r="G689" s="65"/>
      <c r="H689" s="64"/>
      <c r="I689" s="64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</row>
    <row r="690" spans="4:43" ht="14.25" customHeight="1" x14ac:dyDescent="0.35">
      <c r="D690" s="63"/>
      <c r="F690" s="64"/>
      <c r="G690" s="65"/>
      <c r="H690" s="64"/>
      <c r="I690" s="64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</row>
    <row r="691" spans="4:43" ht="14.25" customHeight="1" x14ac:dyDescent="0.35">
      <c r="D691" s="63"/>
      <c r="F691" s="64"/>
      <c r="G691" s="65"/>
      <c r="H691" s="64"/>
      <c r="I691" s="64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</row>
    <row r="692" spans="4:43" ht="14.25" customHeight="1" x14ac:dyDescent="0.35">
      <c r="D692" s="63"/>
      <c r="F692" s="64"/>
      <c r="G692" s="65"/>
      <c r="H692" s="64"/>
      <c r="I692" s="64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</row>
    <row r="693" spans="4:43" ht="14.25" customHeight="1" x14ac:dyDescent="0.35">
      <c r="D693" s="63"/>
      <c r="F693" s="64"/>
      <c r="G693" s="65"/>
      <c r="H693" s="64"/>
      <c r="I693" s="64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</row>
    <row r="694" spans="4:43" ht="14.25" customHeight="1" x14ac:dyDescent="0.35">
      <c r="D694" s="63"/>
      <c r="F694" s="64"/>
      <c r="G694" s="65"/>
      <c r="H694" s="64"/>
      <c r="I694" s="64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</row>
    <row r="695" spans="4:43" ht="14.25" customHeight="1" x14ac:dyDescent="0.35">
      <c r="D695" s="63"/>
      <c r="F695" s="64"/>
      <c r="G695" s="65"/>
      <c r="H695" s="64"/>
      <c r="I695" s="64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</row>
    <row r="696" spans="4:43" ht="14.25" customHeight="1" x14ac:dyDescent="0.35">
      <c r="D696" s="63"/>
      <c r="F696" s="64"/>
      <c r="G696" s="65"/>
      <c r="H696" s="64"/>
      <c r="I696" s="64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</row>
    <row r="697" spans="4:43" ht="14.25" customHeight="1" x14ac:dyDescent="0.35">
      <c r="D697" s="63"/>
      <c r="F697" s="64"/>
      <c r="G697" s="65"/>
      <c r="H697" s="64"/>
      <c r="I697" s="64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</row>
    <row r="698" spans="4:43" ht="14.25" customHeight="1" x14ac:dyDescent="0.35">
      <c r="D698" s="63"/>
      <c r="F698" s="64"/>
      <c r="G698" s="65"/>
      <c r="H698" s="64"/>
      <c r="I698" s="64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</row>
    <row r="699" spans="4:43" ht="14.25" customHeight="1" x14ac:dyDescent="0.35">
      <c r="D699" s="63"/>
      <c r="F699" s="64"/>
      <c r="G699" s="65"/>
      <c r="H699" s="64"/>
      <c r="I699" s="64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</row>
    <row r="700" spans="4:43" ht="14.25" customHeight="1" x14ac:dyDescent="0.35">
      <c r="D700" s="63"/>
      <c r="F700" s="64"/>
      <c r="G700" s="65"/>
      <c r="H700" s="64"/>
      <c r="I700" s="64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</row>
    <row r="701" spans="4:43" ht="14.25" customHeight="1" x14ac:dyDescent="0.35">
      <c r="D701" s="63"/>
      <c r="F701" s="64"/>
      <c r="G701" s="65"/>
      <c r="H701" s="64"/>
      <c r="I701" s="64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</row>
    <row r="702" spans="4:43" ht="14.25" customHeight="1" x14ac:dyDescent="0.35">
      <c r="D702" s="63"/>
      <c r="F702" s="64"/>
      <c r="G702" s="65"/>
      <c r="H702" s="64"/>
      <c r="I702" s="64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</row>
    <row r="703" spans="4:43" ht="14.25" customHeight="1" x14ac:dyDescent="0.35">
      <c r="D703" s="63"/>
      <c r="F703" s="64"/>
      <c r="G703" s="65"/>
      <c r="H703" s="64"/>
      <c r="I703" s="64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</row>
    <row r="704" spans="4:43" ht="14.25" customHeight="1" x14ac:dyDescent="0.35">
      <c r="D704" s="63"/>
      <c r="F704" s="64"/>
      <c r="G704" s="65"/>
      <c r="H704" s="64"/>
      <c r="I704" s="64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</row>
    <row r="705" spans="4:43" ht="14.25" customHeight="1" x14ac:dyDescent="0.35">
      <c r="D705" s="63"/>
      <c r="F705" s="64"/>
      <c r="G705" s="65"/>
      <c r="H705" s="64"/>
      <c r="I705" s="64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</row>
    <row r="706" spans="4:43" ht="14.25" customHeight="1" x14ac:dyDescent="0.35">
      <c r="D706" s="63"/>
      <c r="F706" s="64"/>
      <c r="G706" s="65"/>
      <c r="H706" s="64"/>
      <c r="I706" s="64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</row>
    <row r="707" spans="4:43" ht="14.25" customHeight="1" x14ac:dyDescent="0.35">
      <c r="D707" s="63"/>
      <c r="F707" s="64"/>
      <c r="G707" s="65"/>
      <c r="H707" s="64"/>
      <c r="I707" s="64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</row>
    <row r="708" spans="4:43" ht="14.25" customHeight="1" x14ac:dyDescent="0.35">
      <c r="D708" s="63"/>
      <c r="F708" s="64"/>
      <c r="G708" s="65"/>
      <c r="H708" s="64"/>
      <c r="I708" s="64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</row>
    <row r="709" spans="4:43" ht="14.25" customHeight="1" x14ac:dyDescent="0.35">
      <c r="D709" s="63"/>
      <c r="F709" s="64"/>
      <c r="G709" s="65"/>
      <c r="H709" s="64"/>
      <c r="I709" s="64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</row>
    <row r="710" spans="4:43" ht="14.25" customHeight="1" x14ac:dyDescent="0.35">
      <c r="D710" s="63"/>
      <c r="F710" s="64"/>
      <c r="G710" s="65"/>
      <c r="H710" s="64"/>
      <c r="I710" s="64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</row>
    <row r="711" spans="4:43" ht="14.25" customHeight="1" x14ac:dyDescent="0.35">
      <c r="D711" s="63"/>
      <c r="F711" s="64"/>
      <c r="G711" s="65"/>
      <c r="H711" s="64"/>
      <c r="I711" s="64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</row>
    <row r="712" spans="4:43" ht="14.25" customHeight="1" x14ac:dyDescent="0.35">
      <c r="D712" s="63"/>
      <c r="F712" s="64"/>
      <c r="G712" s="65"/>
      <c r="H712" s="64"/>
      <c r="I712" s="64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</row>
    <row r="713" spans="4:43" ht="14.25" customHeight="1" x14ac:dyDescent="0.35">
      <c r="D713" s="63"/>
      <c r="F713" s="64"/>
      <c r="G713" s="65"/>
      <c r="H713" s="64"/>
      <c r="I713" s="64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</row>
    <row r="714" spans="4:43" ht="14.25" customHeight="1" x14ac:dyDescent="0.35">
      <c r="D714" s="63"/>
      <c r="F714" s="64"/>
      <c r="G714" s="65"/>
      <c r="H714" s="64"/>
      <c r="I714" s="64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</row>
    <row r="715" spans="4:43" ht="14.25" customHeight="1" x14ac:dyDescent="0.35">
      <c r="D715" s="63"/>
      <c r="F715" s="64"/>
      <c r="G715" s="65"/>
      <c r="H715" s="64"/>
      <c r="I715" s="64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</row>
    <row r="716" spans="4:43" ht="14.25" customHeight="1" x14ac:dyDescent="0.35">
      <c r="D716" s="63"/>
      <c r="F716" s="64"/>
      <c r="G716" s="65"/>
      <c r="H716" s="64"/>
      <c r="I716" s="64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</row>
    <row r="717" spans="4:43" ht="14.25" customHeight="1" x14ac:dyDescent="0.35">
      <c r="D717" s="63"/>
      <c r="F717" s="64"/>
      <c r="G717" s="65"/>
      <c r="H717" s="64"/>
      <c r="I717" s="64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</row>
    <row r="718" spans="4:43" ht="14.25" customHeight="1" x14ac:dyDescent="0.35">
      <c r="D718" s="63"/>
      <c r="F718" s="64"/>
      <c r="G718" s="65"/>
      <c r="H718" s="64"/>
      <c r="I718" s="64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</row>
    <row r="719" spans="4:43" ht="14.25" customHeight="1" x14ac:dyDescent="0.35">
      <c r="D719" s="63"/>
      <c r="F719" s="64"/>
      <c r="G719" s="65"/>
      <c r="H719" s="64"/>
      <c r="I719" s="64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</row>
    <row r="720" spans="4:43" ht="14.25" customHeight="1" x14ac:dyDescent="0.35">
      <c r="D720" s="63"/>
      <c r="F720" s="64"/>
      <c r="G720" s="65"/>
      <c r="H720" s="64"/>
      <c r="I720" s="64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</row>
    <row r="721" spans="4:43" ht="14.25" customHeight="1" x14ac:dyDescent="0.35">
      <c r="D721" s="63"/>
      <c r="F721" s="64"/>
      <c r="G721" s="65"/>
      <c r="H721" s="64"/>
      <c r="I721" s="64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</row>
    <row r="722" spans="4:43" ht="14.25" customHeight="1" x14ac:dyDescent="0.35">
      <c r="D722" s="63"/>
      <c r="F722" s="64"/>
      <c r="G722" s="65"/>
      <c r="H722" s="64"/>
      <c r="I722" s="64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</row>
    <row r="723" spans="4:43" ht="14.25" customHeight="1" x14ac:dyDescent="0.35">
      <c r="D723" s="63"/>
      <c r="F723" s="64"/>
      <c r="G723" s="65"/>
      <c r="H723" s="64"/>
      <c r="I723" s="64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</row>
    <row r="724" spans="4:43" ht="14.25" customHeight="1" x14ac:dyDescent="0.35">
      <c r="D724" s="63"/>
      <c r="F724" s="64"/>
      <c r="G724" s="65"/>
      <c r="H724" s="64"/>
      <c r="I724" s="64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</row>
    <row r="725" spans="4:43" ht="14.25" customHeight="1" x14ac:dyDescent="0.35">
      <c r="D725" s="63"/>
      <c r="F725" s="64"/>
      <c r="G725" s="65"/>
      <c r="H725" s="64"/>
      <c r="I725" s="64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</row>
    <row r="726" spans="4:43" ht="14.25" customHeight="1" x14ac:dyDescent="0.35">
      <c r="D726" s="63"/>
      <c r="F726" s="64"/>
      <c r="G726" s="65"/>
      <c r="H726" s="64"/>
      <c r="I726" s="64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</row>
    <row r="727" spans="4:43" ht="14.25" customHeight="1" x14ac:dyDescent="0.35">
      <c r="D727" s="63"/>
      <c r="F727" s="64"/>
      <c r="G727" s="65"/>
      <c r="H727" s="64"/>
      <c r="I727" s="64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</row>
    <row r="728" spans="4:43" ht="14.25" customHeight="1" x14ac:dyDescent="0.35">
      <c r="D728" s="63"/>
      <c r="F728" s="64"/>
      <c r="G728" s="65"/>
      <c r="H728" s="64"/>
      <c r="I728" s="64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</row>
    <row r="729" spans="4:43" ht="14.25" customHeight="1" x14ac:dyDescent="0.35">
      <c r="D729" s="63"/>
      <c r="F729" s="64"/>
      <c r="G729" s="65"/>
      <c r="H729" s="64"/>
      <c r="I729" s="64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</row>
    <row r="730" spans="4:43" ht="14.25" customHeight="1" x14ac:dyDescent="0.35">
      <c r="D730" s="63"/>
      <c r="F730" s="64"/>
      <c r="G730" s="65"/>
      <c r="H730" s="64"/>
      <c r="I730" s="64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</row>
    <row r="731" spans="4:43" ht="14.25" customHeight="1" x14ac:dyDescent="0.35">
      <c r="D731" s="63"/>
      <c r="F731" s="64"/>
      <c r="G731" s="65"/>
      <c r="H731" s="64"/>
      <c r="I731" s="64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</row>
    <row r="732" spans="4:43" ht="14.25" customHeight="1" x14ac:dyDescent="0.35">
      <c r="D732" s="63"/>
      <c r="F732" s="64"/>
      <c r="G732" s="65"/>
      <c r="H732" s="64"/>
      <c r="I732" s="64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</row>
    <row r="733" spans="4:43" ht="14.25" customHeight="1" x14ac:dyDescent="0.35">
      <c r="D733" s="63"/>
      <c r="F733" s="64"/>
      <c r="G733" s="65"/>
      <c r="H733" s="64"/>
      <c r="I733" s="64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</row>
    <row r="734" spans="4:43" ht="14.25" customHeight="1" x14ac:dyDescent="0.35">
      <c r="D734" s="63"/>
      <c r="F734" s="64"/>
      <c r="G734" s="65"/>
      <c r="H734" s="64"/>
      <c r="I734" s="64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</row>
    <row r="735" spans="4:43" ht="14.25" customHeight="1" x14ac:dyDescent="0.35">
      <c r="D735" s="63"/>
      <c r="F735" s="64"/>
      <c r="G735" s="65"/>
      <c r="H735" s="64"/>
      <c r="I735" s="64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</row>
    <row r="736" spans="4:43" ht="14.25" customHeight="1" x14ac:dyDescent="0.35">
      <c r="D736" s="63"/>
      <c r="F736" s="64"/>
      <c r="G736" s="65"/>
      <c r="H736" s="64"/>
      <c r="I736" s="64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</row>
    <row r="737" spans="4:43" ht="14.25" customHeight="1" x14ac:dyDescent="0.35">
      <c r="D737" s="63"/>
      <c r="F737" s="64"/>
      <c r="G737" s="65"/>
      <c r="H737" s="64"/>
      <c r="I737" s="64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</row>
    <row r="738" spans="4:43" ht="14.25" customHeight="1" x14ac:dyDescent="0.35">
      <c r="D738" s="63"/>
      <c r="F738" s="64"/>
      <c r="G738" s="65"/>
      <c r="H738" s="64"/>
      <c r="I738" s="64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</row>
    <row r="739" spans="4:43" ht="14.25" customHeight="1" x14ac:dyDescent="0.35">
      <c r="D739" s="63"/>
      <c r="F739" s="64"/>
      <c r="G739" s="65"/>
      <c r="H739" s="64"/>
      <c r="I739" s="64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</row>
    <row r="740" spans="4:43" ht="14.25" customHeight="1" x14ac:dyDescent="0.35">
      <c r="D740" s="63"/>
      <c r="F740" s="64"/>
      <c r="G740" s="65"/>
      <c r="H740" s="64"/>
      <c r="I740" s="64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</row>
    <row r="741" spans="4:43" ht="14.25" customHeight="1" x14ac:dyDescent="0.35">
      <c r="D741" s="63"/>
      <c r="F741" s="64"/>
      <c r="G741" s="65"/>
      <c r="H741" s="64"/>
      <c r="I741" s="64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</row>
    <row r="742" spans="4:43" ht="14.25" customHeight="1" x14ac:dyDescent="0.35">
      <c r="D742" s="63"/>
      <c r="F742" s="64"/>
      <c r="G742" s="65"/>
      <c r="H742" s="64"/>
      <c r="I742" s="64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</row>
    <row r="743" spans="4:43" ht="14.25" customHeight="1" x14ac:dyDescent="0.35">
      <c r="D743" s="63"/>
      <c r="F743" s="64"/>
      <c r="G743" s="65"/>
      <c r="H743" s="64"/>
      <c r="I743" s="64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</row>
    <row r="744" spans="4:43" ht="14.25" customHeight="1" x14ac:dyDescent="0.35">
      <c r="D744" s="63"/>
      <c r="F744" s="64"/>
      <c r="G744" s="65"/>
      <c r="H744" s="64"/>
      <c r="I744" s="64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</row>
    <row r="745" spans="4:43" ht="14.25" customHeight="1" x14ac:dyDescent="0.35">
      <c r="D745" s="63"/>
      <c r="F745" s="64"/>
      <c r="G745" s="65"/>
      <c r="H745" s="64"/>
      <c r="I745" s="64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</row>
    <row r="746" spans="4:43" ht="14.25" customHeight="1" x14ac:dyDescent="0.35">
      <c r="D746" s="63"/>
      <c r="F746" s="64"/>
      <c r="G746" s="65"/>
      <c r="H746" s="64"/>
      <c r="I746" s="64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</row>
    <row r="747" spans="4:43" ht="14.25" customHeight="1" x14ac:dyDescent="0.35">
      <c r="D747" s="63"/>
      <c r="F747" s="64"/>
      <c r="G747" s="65"/>
      <c r="H747" s="64"/>
      <c r="I747" s="64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</row>
    <row r="748" spans="4:43" ht="14.25" customHeight="1" x14ac:dyDescent="0.35">
      <c r="D748" s="63"/>
      <c r="F748" s="64"/>
      <c r="G748" s="65"/>
      <c r="H748" s="64"/>
      <c r="I748" s="64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</row>
    <row r="749" spans="4:43" ht="14.25" customHeight="1" x14ac:dyDescent="0.35">
      <c r="D749" s="63"/>
      <c r="F749" s="64"/>
      <c r="G749" s="65"/>
      <c r="H749" s="64"/>
      <c r="I749" s="64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</row>
    <row r="750" spans="4:43" ht="14.25" customHeight="1" x14ac:dyDescent="0.35">
      <c r="D750" s="63"/>
      <c r="F750" s="64"/>
      <c r="G750" s="65"/>
      <c r="H750" s="64"/>
      <c r="I750" s="64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</row>
    <row r="751" spans="4:43" ht="14.25" customHeight="1" x14ac:dyDescent="0.35">
      <c r="D751" s="63"/>
      <c r="F751" s="64"/>
      <c r="G751" s="65"/>
      <c r="H751" s="64"/>
      <c r="I751" s="64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</row>
    <row r="752" spans="4:43" ht="14.25" customHeight="1" x14ac:dyDescent="0.35">
      <c r="D752" s="63"/>
      <c r="F752" s="64"/>
      <c r="G752" s="65"/>
      <c r="H752" s="64"/>
      <c r="I752" s="64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</row>
    <row r="753" spans="4:43" ht="14.25" customHeight="1" x14ac:dyDescent="0.35">
      <c r="D753" s="63"/>
      <c r="F753" s="64"/>
      <c r="G753" s="65"/>
      <c r="H753" s="64"/>
      <c r="I753" s="64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</row>
    <row r="754" spans="4:43" ht="14.25" customHeight="1" x14ac:dyDescent="0.35">
      <c r="D754" s="63"/>
      <c r="F754" s="64"/>
      <c r="G754" s="65"/>
      <c r="H754" s="64"/>
      <c r="I754" s="64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</row>
    <row r="755" spans="4:43" ht="14.25" customHeight="1" x14ac:dyDescent="0.35">
      <c r="D755" s="63"/>
      <c r="F755" s="64"/>
      <c r="G755" s="65"/>
      <c r="H755" s="64"/>
      <c r="I755" s="64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</row>
    <row r="756" spans="4:43" ht="14.25" customHeight="1" x14ac:dyDescent="0.35">
      <c r="D756" s="63"/>
      <c r="F756" s="64"/>
      <c r="G756" s="65"/>
      <c r="H756" s="64"/>
      <c r="I756" s="64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</row>
    <row r="757" spans="4:43" ht="14.25" customHeight="1" x14ac:dyDescent="0.35">
      <c r="D757" s="63"/>
      <c r="F757" s="64"/>
      <c r="G757" s="65"/>
      <c r="H757" s="64"/>
      <c r="I757" s="64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</row>
    <row r="758" spans="4:43" ht="14.25" customHeight="1" x14ac:dyDescent="0.35">
      <c r="D758" s="63"/>
      <c r="F758" s="64"/>
      <c r="G758" s="65"/>
      <c r="H758" s="64"/>
      <c r="I758" s="64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</row>
    <row r="759" spans="4:43" ht="14.25" customHeight="1" x14ac:dyDescent="0.35">
      <c r="D759" s="63"/>
      <c r="F759" s="64"/>
      <c r="G759" s="65"/>
      <c r="H759" s="64"/>
      <c r="I759" s="64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</row>
    <row r="760" spans="4:43" ht="14.25" customHeight="1" x14ac:dyDescent="0.35">
      <c r="D760" s="63"/>
      <c r="F760" s="64"/>
      <c r="G760" s="65"/>
      <c r="H760" s="64"/>
      <c r="I760" s="64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</row>
    <row r="761" spans="4:43" ht="14.25" customHeight="1" x14ac:dyDescent="0.35">
      <c r="D761" s="63"/>
      <c r="F761" s="64"/>
      <c r="G761" s="65"/>
      <c r="H761" s="64"/>
      <c r="I761" s="64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</row>
    <row r="762" spans="4:43" ht="14.25" customHeight="1" x14ac:dyDescent="0.35">
      <c r="D762" s="63"/>
      <c r="F762" s="64"/>
      <c r="G762" s="65"/>
      <c r="H762" s="64"/>
      <c r="I762" s="64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</row>
    <row r="763" spans="4:43" ht="14.25" customHeight="1" x14ac:dyDescent="0.35">
      <c r="D763" s="63"/>
      <c r="F763" s="64"/>
      <c r="G763" s="65"/>
      <c r="H763" s="64"/>
      <c r="I763" s="64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</row>
    <row r="764" spans="4:43" ht="14.25" customHeight="1" x14ac:dyDescent="0.35">
      <c r="D764" s="63"/>
      <c r="F764" s="64"/>
      <c r="G764" s="65"/>
      <c r="H764" s="64"/>
      <c r="I764" s="64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</row>
    <row r="765" spans="4:43" ht="14.25" customHeight="1" x14ac:dyDescent="0.35">
      <c r="D765" s="63"/>
      <c r="F765" s="64"/>
      <c r="G765" s="65"/>
      <c r="H765" s="64"/>
      <c r="I765" s="64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</row>
    <row r="766" spans="4:43" ht="14.25" customHeight="1" x14ac:dyDescent="0.35">
      <c r="D766" s="63"/>
      <c r="F766" s="64"/>
      <c r="G766" s="65"/>
      <c r="H766" s="64"/>
      <c r="I766" s="64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</row>
    <row r="767" spans="4:43" ht="14.25" customHeight="1" x14ac:dyDescent="0.35">
      <c r="D767" s="63"/>
      <c r="F767" s="64"/>
      <c r="G767" s="65"/>
      <c r="H767" s="64"/>
      <c r="I767" s="64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</row>
    <row r="768" spans="4:43" ht="14.25" customHeight="1" x14ac:dyDescent="0.35">
      <c r="D768" s="63"/>
      <c r="F768" s="64"/>
      <c r="G768" s="65"/>
      <c r="H768" s="64"/>
      <c r="I768" s="64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</row>
    <row r="769" spans="4:43" ht="14.25" customHeight="1" x14ac:dyDescent="0.35">
      <c r="D769" s="63"/>
      <c r="F769" s="64"/>
      <c r="G769" s="65"/>
      <c r="H769" s="64"/>
      <c r="I769" s="64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</row>
    <row r="770" spans="4:43" ht="14.25" customHeight="1" x14ac:dyDescent="0.35">
      <c r="D770" s="63"/>
      <c r="F770" s="64"/>
      <c r="G770" s="65"/>
      <c r="H770" s="64"/>
      <c r="I770" s="64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</row>
    <row r="771" spans="4:43" ht="14.25" customHeight="1" x14ac:dyDescent="0.35">
      <c r="D771" s="63"/>
      <c r="F771" s="64"/>
      <c r="G771" s="65"/>
      <c r="H771" s="64"/>
      <c r="I771" s="64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</row>
    <row r="772" spans="4:43" ht="14.25" customHeight="1" x14ac:dyDescent="0.35">
      <c r="D772" s="63"/>
      <c r="F772" s="64"/>
      <c r="G772" s="65"/>
      <c r="H772" s="64"/>
      <c r="I772" s="64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</row>
    <row r="773" spans="4:43" ht="14.25" customHeight="1" x14ac:dyDescent="0.35">
      <c r="D773" s="63"/>
      <c r="F773" s="64"/>
      <c r="G773" s="65"/>
      <c r="H773" s="64"/>
      <c r="I773" s="64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</row>
    <row r="774" spans="4:43" ht="14.25" customHeight="1" x14ac:dyDescent="0.35">
      <c r="D774" s="63"/>
      <c r="F774" s="64"/>
      <c r="G774" s="65"/>
      <c r="H774" s="64"/>
      <c r="I774" s="64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</row>
    <row r="775" spans="4:43" ht="14.25" customHeight="1" x14ac:dyDescent="0.35">
      <c r="D775" s="63"/>
      <c r="F775" s="64"/>
      <c r="G775" s="65"/>
      <c r="H775" s="64"/>
      <c r="I775" s="64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</row>
    <row r="776" spans="4:43" ht="14.25" customHeight="1" x14ac:dyDescent="0.35">
      <c r="D776" s="63"/>
      <c r="F776" s="64"/>
      <c r="G776" s="65"/>
      <c r="H776" s="64"/>
      <c r="I776" s="64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</row>
    <row r="777" spans="4:43" ht="14.25" customHeight="1" x14ac:dyDescent="0.35">
      <c r="D777" s="63"/>
      <c r="F777" s="64"/>
      <c r="G777" s="65"/>
      <c r="H777" s="64"/>
      <c r="I777" s="64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</row>
    <row r="778" spans="4:43" ht="14.25" customHeight="1" x14ac:dyDescent="0.35">
      <c r="D778" s="63"/>
      <c r="F778" s="64"/>
      <c r="G778" s="65"/>
      <c r="H778" s="64"/>
      <c r="I778" s="64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</row>
    <row r="779" spans="4:43" ht="14.25" customHeight="1" x14ac:dyDescent="0.35">
      <c r="D779" s="63"/>
      <c r="F779" s="64"/>
      <c r="G779" s="65"/>
      <c r="H779" s="64"/>
      <c r="I779" s="64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</row>
    <row r="780" spans="4:43" ht="14.25" customHeight="1" x14ac:dyDescent="0.35">
      <c r="D780" s="63"/>
      <c r="F780" s="64"/>
      <c r="G780" s="65"/>
      <c r="H780" s="64"/>
      <c r="I780" s="64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</row>
    <row r="781" spans="4:43" ht="14.25" customHeight="1" x14ac:dyDescent="0.35">
      <c r="D781" s="63"/>
      <c r="F781" s="64"/>
      <c r="G781" s="65"/>
      <c r="H781" s="64"/>
      <c r="I781" s="64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</row>
    <row r="782" spans="4:43" ht="14.25" customHeight="1" x14ac:dyDescent="0.35">
      <c r="D782" s="63"/>
      <c r="F782" s="64"/>
      <c r="G782" s="65"/>
      <c r="H782" s="64"/>
      <c r="I782" s="64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</row>
    <row r="783" spans="4:43" ht="14.25" customHeight="1" x14ac:dyDescent="0.35">
      <c r="D783" s="63"/>
      <c r="F783" s="64"/>
      <c r="G783" s="65"/>
      <c r="H783" s="64"/>
      <c r="I783" s="64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</row>
    <row r="784" spans="4:43" ht="14.25" customHeight="1" x14ac:dyDescent="0.35">
      <c r="D784" s="63"/>
      <c r="F784" s="64"/>
      <c r="G784" s="65"/>
      <c r="H784" s="64"/>
      <c r="I784" s="64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</row>
    <row r="785" spans="4:43" ht="14.25" customHeight="1" x14ac:dyDescent="0.35">
      <c r="D785" s="63"/>
      <c r="F785" s="64"/>
      <c r="G785" s="65"/>
      <c r="H785" s="64"/>
      <c r="I785" s="64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</row>
    <row r="786" spans="4:43" ht="14.25" customHeight="1" x14ac:dyDescent="0.35">
      <c r="D786" s="63"/>
      <c r="F786" s="64"/>
      <c r="G786" s="65"/>
      <c r="H786" s="64"/>
      <c r="I786" s="64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</row>
    <row r="787" spans="4:43" ht="14.25" customHeight="1" x14ac:dyDescent="0.35">
      <c r="D787" s="63"/>
      <c r="F787" s="64"/>
      <c r="G787" s="65"/>
      <c r="H787" s="64"/>
      <c r="I787" s="64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</row>
    <row r="788" spans="4:43" ht="14.25" customHeight="1" x14ac:dyDescent="0.35">
      <c r="D788" s="63"/>
      <c r="F788" s="64"/>
      <c r="G788" s="65"/>
      <c r="H788" s="64"/>
      <c r="I788" s="64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</row>
    <row r="789" spans="4:43" ht="14.25" customHeight="1" x14ac:dyDescent="0.35">
      <c r="D789" s="63"/>
      <c r="F789" s="64"/>
      <c r="G789" s="65"/>
      <c r="H789" s="64"/>
      <c r="I789" s="64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</row>
    <row r="790" spans="4:43" ht="14.25" customHeight="1" x14ac:dyDescent="0.35">
      <c r="D790" s="63"/>
      <c r="F790" s="64"/>
      <c r="G790" s="65"/>
      <c r="H790" s="64"/>
      <c r="I790" s="64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</row>
    <row r="791" spans="4:43" ht="14.25" customHeight="1" x14ac:dyDescent="0.35">
      <c r="D791" s="63"/>
      <c r="F791" s="64"/>
      <c r="G791" s="65"/>
      <c r="H791" s="64"/>
      <c r="I791" s="64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</row>
    <row r="792" spans="4:43" ht="14.25" customHeight="1" x14ac:dyDescent="0.35">
      <c r="D792" s="63"/>
      <c r="F792" s="64"/>
      <c r="G792" s="65"/>
      <c r="H792" s="64"/>
      <c r="I792" s="64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</row>
    <row r="793" spans="4:43" ht="14.25" customHeight="1" x14ac:dyDescent="0.35">
      <c r="D793" s="63"/>
      <c r="F793" s="64"/>
      <c r="G793" s="65"/>
      <c r="H793" s="64"/>
      <c r="I793" s="64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</row>
    <row r="794" spans="4:43" ht="14.25" customHeight="1" x14ac:dyDescent="0.35">
      <c r="D794" s="63"/>
      <c r="F794" s="64"/>
      <c r="G794" s="65"/>
      <c r="H794" s="64"/>
      <c r="I794" s="64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</row>
    <row r="795" spans="4:43" ht="14.25" customHeight="1" x14ac:dyDescent="0.35">
      <c r="D795" s="63"/>
      <c r="F795" s="64"/>
      <c r="G795" s="65"/>
      <c r="H795" s="64"/>
      <c r="I795" s="64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</row>
    <row r="796" spans="4:43" ht="14.25" customHeight="1" x14ac:dyDescent="0.35">
      <c r="D796" s="63"/>
      <c r="F796" s="64"/>
      <c r="G796" s="65"/>
      <c r="H796" s="64"/>
      <c r="I796" s="64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</row>
    <row r="797" spans="4:43" ht="14.25" customHeight="1" x14ac:dyDescent="0.35">
      <c r="D797" s="63"/>
      <c r="F797" s="64"/>
      <c r="G797" s="65"/>
      <c r="H797" s="64"/>
      <c r="I797" s="64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</row>
    <row r="798" spans="4:43" ht="14.25" customHeight="1" x14ac:dyDescent="0.35">
      <c r="D798" s="63"/>
      <c r="F798" s="64"/>
      <c r="G798" s="65"/>
      <c r="H798" s="64"/>
      <c r="I798" s="64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</row>
    <row r="799" spans="4:43" ht="14.25" customHeight="1" x14ac:dyDescent="0.35">
      <c r="D799" s="63"/>
      <c r="F799" s="64"/>
      <c r="G799" s="65"/>
      <c r="H799" s="64"/>
      <c r="I799" s="64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</row>
    <row r="800" spans="4:43" ht="14.25" customHeight="1" x14ac:dyDescent="0.35">
      <c r="D800" s="63"/>
      <c r="F800" s="64"/>
      <c r="G800" s="65"/>
      <c r="H800" s="64"/>
      <c r="I800" s="64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</row>
    <row r="801" spans="4:43" ht="14.25" customHeight="1" x14ac:dyDescent="0.35">
      <c r="D801" s="63"/>
      <c r="F801" s="64"/>
      <c r="G801" s="65"/>
      <c r="H801" s="64"/>
      <c r="I801" s="64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</row>
    <row r="802" spans="4:43" ht="14.25" customHeight="1" x14ac:dyDescent="0.35">
      <c r="D802" s="63"/>
      <c r="F802" s="64"/>
      <c r="G802" s="65"/>
      <c r="H802" s="64"/>
      <c r="I802" s="64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</row>
    <row r="803" spans="4:43" ht="14.25" customHeight="1" x14ac:dyDescent="0.35">
      <c r="D803" s="63"/>
      <c r="F803" s="64"/>
      <c r="G803" s="65"/>
      <c r="H803" s="64"/>
      <c r="I803" s="64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</row>
    <row r="804" spans="4:43" ht="14.25" customHeight="1" x14ac:dyDescent="0.35">
      <c r="D804" s="63"/>
      <c r="F804" s="64"/>
      <c r="G804" s="65"/>
      <c r="H804" s="64"/>
      <c r="I804" s="64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</row>
    <row r="805" spans="4:43" ht="14.25" customHeight="1" x14ac:dyDescent="0.35">
      <c r="D805" s="63"/>
      <c r="F805" s="64"/>
      <c r="G805" s="65"/>
      <c r="H805" s="64"/>
      <c r="I805" s="64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</row>
    <row r="806" spans="4:43" ht="14.25" customHeight="1" x14ac:dyDescent="0.35">
      <c r="D806" s="63"/>
      <c r="F806" s="64"/>
      <c r="G806" s="65"/>
      <c r="H806" s="64"/>
      <c r="I806" s="64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</row>
    <row r="807" spans="4:43" ht="14.25" customHeight="1" x14ac:dyDescent="0.35">
      <c r="D807" s="63"/>
      <c r="F807" s="64"/>
      <c r="G807" s="65"/>
      <c r="H807" s="64"/>
      <c r="I807" s="64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</row>
    <row r="808" spans="4:43" ht="14.25" customHeight="1" x14ac:dyDescent="0.35">
      <c r="D808" s="63"/>
      <c r="F808" s="64"/>
      <c r="G808" s="65"/>
      <c r="H808" s="64"/>
      <c r="I808" s="64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</row>
    <row r="809" spans="4:43" ht="14.25" customHeight="1" x14ac:dyDescent="0.35">
      <c r="D809" s="63"/>
      <c r="F809" s="64"/>
      <c r="G809" s="65"/>
      <c r="H809" s="64"/>
      <c r="I809" s="64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</row>
    <row r="810" spans="4:43" ht="14.25" customHeight="1" x14ac:dyDescent="0.35">
      <c r="D810" s="63"/>
      <c r="F810" s="64"/>
      <c r="G810" s="65"/>
      <c r="H810" s="64"/>
      <c r="I810" s="64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</row>
    <row r="811" spans="4:43" ht="14.25" customHeight="1" x14ac:dyDescent="0.35">
      <c r="D811" s="63"/>
      <c r="F811" s="64"/>
      <c r="G811" s="65"/>
      <c r="H811" s="64"/>
      <c r="I811" s="64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</row>
    <row r="812" spans="4:43" ht="14.25" customHeight="1" x14ac:dyDescent="0.35">
      <c r="D812" s="63"/>
      <c r="F812" s="64"/>
      <c r="G812" s="65"/>
      <c r="H812" s="64"/>
      <c r="I812" s="64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</row>
    <row r="813" spans="4:43" ht="14.25" customHeight="1" x14ac:dyDescent="0.35">
      <c r="D813" s="63"/>
      <c r="F813" s="64"/>
      <c r="G813" s="65"/>
      <c r="H813" s="64"/>
      <c r="I813" s="64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</row>
    <row r="814" spans="4:43" ht="14.25" customHeight="1" x14ac:dyDescent="0.35">
      <c r="D814" s="63"/>
      <c r="F814" s="64"/>
      <c r="G814" s="65"/>
      <c r="H814" s="64"/>
      <c r="I814" s="64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</row>
    <row r="815" spans="4:43" ht="14.25" customHeight="1" x14ac:dyDescent="0.35">
      <c r="D815" s="63"/>
      <c r="F815" s="64"/>
      <c r="G815" s="65"/>
      <c r="H815" s="64"/>
      <c r="I815" s="64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</row>
    <row r="816" spans="4:43" ht="14.25" customHeight="1" x14ac:dyDescent="0.35">
      <c r="D816" s="63"/>
      <c r="F816" s="64"/>
      <c r="G816" s="65"/>
      <c r="H816" s="64"/>
      <c r="I816" s="64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</row>
    <row r="817" spans="4:43" ht="14.25" customHeight="1" x14ac:dyDescent="0.35">
      <c r="D817" s="63"/>
      <c r="F817" s="64"/>
      <c r="G817" s="65"/>
      <c r="H817" s="64"/>
      <c r="I817" s="64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</row>
    <row r="818" spans="4:43" ht="14.25" customHeight="1" x14ac:dyDescent="0.35">
      <c r="D818" s="63"/>
      <c r="F818" s="64"/>
      <c r="G818" s="65"/>
      <c r="H818" s="64"/>
      <c r="I818" s="64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</row>
    <row r="819" spans="4:43" ht="14.25" customHeight="1" x14ac:dyDescent="0.35">
      <c r="D819" s="63"/>
      <c r="F819" s="64"/>
      <c r="G819" s="65"/>
      <c r="H819" s="64"/>
      <c r="I819" s="64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</row>
    <row r="820" spans="4:43" ht="14.25" customHeight="1" x14ac:dyDescent="0.35">
      <c r="D820" s="63"/>
      <c r="F820" s="64"/>
      <c r="G820" s="65"/>
      <c r="H820" s="64"/>
      <c r="I820" s="64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</row>
    <row r="821" spans="4:43" ht="14.25" customHeight="1" x14ac:dyDescent="0.35">
      <c r="D821" s="63"/>
      <c r="F821" s="64"/>
      <c r="G821" s="65"/>
      <c r="H821" s="64"/>
      <c r="I821" s="64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</row>
    <row r="822" spans="4:43" ht="14.25" customHeight="1" x14ac:dyDescent="0.35">
      <c r="D822" s="63"/>
      <c r="F822" s="64"/>
      <c r="G822" s="65"/>
      <c r="H822" s="64"/>
      <c r="I822" s="64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</row>
    <row r="823" spans="4:43" ht="14.25" customHeight="1" x14ac:dyDescent="0.35">
      <c r="D823" s="63"/>
      <c r="F823" s="64"/>
      <c r="G823" s="65"/>
      <c r="H823" s="64"/>
      <c r="I823" s="64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</row>
    <row r="824" spans="4:43" ht="14.25" customHeight="1" x14ac:dyDescent="0.35">
      <c r="D824" s="63"/>
      <c r="F824" s="64"/>
      <c r="G824" s="65"/>
      <c r="H824" s="64"/>
      <c r="I824" s="64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</row>
    <row r="825" spans="4:43" ht="14.25" customHeight="1" x14ac:dyDescent="0.35">
      <c r="D825" s="63"/>
      <c r="F825" s="64"/>
      <c r="G825" s="65"/>
      <c r="H825" s="64"/>
      <c r="I825" s="64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</row>
    <row r="826" spans="4:43" ht="14.25" customHeight="1" x14ac:dyDescent="0.35">
      <c r="D826" s="63"/>
      <c r="F826" s="64"/>
      <c r="G826" s="65"/>
      <c r="H826" s="64"/>
      <c r="I826" s="64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</row>
    <row r="827" spans="4:43" ht="14.25" customHeight="1" x14ac:dyDescent="0.35">
      <c r="D827" s="63"/>
      <c r="F827" s="64"/>
      <c r="G827" s="65"/>
      <c r="H827" s="64"/>
      <c r="I827" s="64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</row>
    <row r="828" spans="4:43" ht="14.25" customHeight="1" x14ac:dyDescent="0.35">
      <c r="D828" s="63"/>
      <c r="F828" s="64"/>
      <c r="G828" s="65"/>
      <c r="H828" s="64"/>
      <c r="I828" s="64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</row>
    <row r="829" spans="4:43" ht="14.25" customHeight="1" x14ac:dyDescent="0.35">
      <c r="D829" s="63"/>
      <c r="F829" s="64"/>
      <c r="G829" s="65"/>
      <c r="H829" s="64"/>
      <c r="I829" s="64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</row>
    <row r="830" spans="4:43" ht="14.25" customHeight="1" x14ac:dyDescent="0.35">
      <c r="D830" s="63"/>
      <c r="F830" s="64"/>
      <c r="G830" s="65"/>
      <c r="H830" s="64"/>
      <c r="I830" s="64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</row>
    <row r="831" spans="4:43" ht="14.25" customHeight="1" x14ac:dyDescent="0.35">
      <c r="D831" s="63"/>
      <c r="F831" s="64"/>
      <c r="G831" s="65"/>
      <c r="H831" s="64"/>
      <c r="I831" s="64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</row>
    <row r="832" spans="4:43" ht="14.25" customHeight="1" x14ac:dyDescent="0.35">
      <c r="D832" s="63"/>
      <c r="F832" s="64"/>
      <c r="G832" s="65"/>
      <c r="H832" s="64"/>
      <c r="I832" s="64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</row>
    <row r="833" spans="4:43" ht="14.25" customHeight="1" x14ac:dyDescent="0.35">
      <c r="D833" s="63"/>
      <c r="F833" s="64"/>
      <c r="G833" s="65"/>
      <c r="H833" s="64"/>
      <c r="I833" s="64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</row>
    <row r="834" spans="4:43" ht="14.25" customHeight="1" x14ac:dyDescent="0.35">
      <c r="D834" s="63"/>
      <c r="F834" s="64"/>
      <c r="G834" s="65"/>
      <c r="H834" s="64"/>
      <c r="I834" s="64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</row>
    <row r="835" spans="4:43" ht="14.25" customHeight="1" x14ac:dyDescent="0.35">
      <c r="D835" s="63"/>
      <c r="F835" s="64"/>
      <c r="G835" s="65"/>
      <c r="H835" s="64"/>
      <c r="I835" s="64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</row>
    <row r="836" spans="4:43" ht="14.25" customHeight="1" x14ac:dyDescent="0.35">
      <c r="D836" s="63"/>
      <c r="F836" s="64"/>
      <c r="G836" s="65"/>
      <c r="H836" s="64"/>
      <c r="I836" s="64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</row>
    <row r="837" spans="4:43" ht="14.25" customHeight="1" x14ac:dyDescent="0.35">
      <c r="D837" s="63"/>
      <c r="F837" s="64"/>
      <c r="G837" s="65"/>
      <c r="H837" s="64"/>
      <c r="I837" s="64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</row>
    <row r="838" spans="4:43" ht="14.25" customHeight="1" x14ac:dyDescent="0.35">
      <c r="D838" s="63"/>
      <c r="F838" s="64"/>
      <c r="G838" s="65"/>
      <c r="H838" s="64"/>
      <c r="I838" s="64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</row>
    <row r="839" spans="4:43" ht="14.25" customHeight="1" x14ac:dyDescent="0.35">
      <c r="D839" s="63"/>
      <c r="F839" s="64"/>
      <c r="G839" s="65"/>
      <c r="H839" s="64"/>
      <c r="I839" s="64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</row>
    <row r="840" spans="4:43" ht="14.25" customHeight="1" x14ac:dyDescent="0.35">
      <c r="D840" s="63"/>
      <c r="F840" s="64"/>
      <c r="G840" s="65"/>
      <c r="H840" s="64"/>
      <c r="I840" s="64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</row>
    <row r="841" spans="4:43" ht="14.25" customHeight="1" x14ac:dyDescent="0.35">
      <c r="D841" s="63"/>
      <c r="F841" s="64"/>
      <c r="G841" s="65"/>
      <c r="H841" s="64"/>
      <c r="I841" s="64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</row>
    <row r="842" spans="4:43" ht="14.25" customHeight="1" x14ac:dyDescent="0.35">
      <c r="D842" s="63"/>
      <c r="F842" s="64"/>
      <c r="G842" s="65"/>
      <c r="H842" s="64"/>
      <c r="I842" s="64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</row>
    <row r="843" spans="4:43" ht="14.25" customHeight="1" x14ac:dyDescent="0.35">
      <c r="D843" s="63"/>
      <c r="F843" s="64"/>
      <c r="G843" s="65"/>
      <c r="H843" s="64"/>
      <c r="I843" s="64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</row>
    <row r="844" spans="4:43" ht="14.25" customHeight="1" x14ac:dyDescent="0.35">
      <c r="D844" s="63"/>
      <c r="F844" s="64"/>
      <c r="G844" s="65"/>
      <c r="H844" s="64"/>
      <c r="I844" s="64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</row>
    <row r="845" spans="4:43" ht="14.25" customHeight="1" x14ac:dyDescent="0.35">
      <c r="D845" s="63"/>
      <c r="F845" s="64"/>
      <c r="G845" s="65"/>
      <c r="H845" s="64"/>
      <c r="I845" s="64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</row>
    <row r="846" spans="4:43" ht="14.25" customHeight="1" x14ac:dyDescent="0.35">
      <c r="D846" s="63"/>
      <c r="F846" s="64"/>
      <c r="G846" s="65"/>
      <c r="H846" s="64"/>
      <c r="I846" s="64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</row>
    <row r="847" spans="4:43" ht="14.25" customHeight="1" x14ac:dyDescent="0.35">
      <c r="D847" s="63"/>
      <c r="F847" s="64"/>
      <c r="G847" s="65"/>
      <c r="H847" s="64"/>
      <c r="I847" s="64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</row>
    <row r="848" spans="4:43" ht="14.25" customHeight="1" x14ac:dyDescent="0.35">
      <c r="D848" s="63"/>
      <c r="F848" s="64"/>
      <c r="G848" s="65"/>
      <c r="H848" s="64"/>
      <c r="I848" s="64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</row>
    <row r="849" spans="4:43" ht="14.25" customHeight="1" x14ac:dyDescent="0.35">
      <c r="D849" s="63"/>
      <c r="F849" s="64"/>
      <c r="G849" s="65"/>
      <c r="H849" s="64"/>
      <c r="I849" s="64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</row>
    <row r="850" spans="4:43" ht="14.25" customHeight="1" x14ac:dyDescent="0.35">
      <c r="D850" s="63"/>
      <c r="F850" s="64"/>
      <c r="G850" s="65"/>
      <c r="H850" s="64"/>
      <c r="I850" s="64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</row>
    <row r="851" spans="4:43" ht="14.25" customHeight="1" x14ac:dyDescent="0.35">
      <c r="D851" s="63"/>
      <c r="F851" s="64"/>
      <c r="G851" s="65"/>
      <c r="H851" s="64"/>
      <c r="I851" s="64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</row>
    <row r="852" spans="4:43" ht="14.25" customHeight="1" x14ac:dyDescent="0.35">
      <c r="D852" s="63"/>
      <c r="F852" s="64"/>
      <c r="G852" s="65"/>
      <c r="H852" s="64"/>
      <c r="I852" s="64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</row>
    <row r="853" spans="4:43" ht="14.25" customHeight="1" x14ac:dyDescent="0.35">
      <c r="D853" s="63"/>
      <c r="F853" s="64"/>
      <c r="G853" s="65"/>
      <c r="H853" s="64"/>
      <c r="I853" s="64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</row>
    <row r="854" spans="4:43" ht="14.25" customHeight="1" x14ac:dyDescent="0.35">
      <c r="D854" s="63"/>
      <c r="F854" s="64"/>
      <c r="G854" s="65"/>
      <c r="H854" s="64"/>
      <c r="I854" s="64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</row>
    <row r="855" spans="4:43" ht="14.25" customHeight="1" x14ac:dyDescent="0.35">
      <c r="D855" s="63"/>
      <c r="F855" s="64"/>
      <c r="G855" s="65"/>
      <c r="H855" s="64"/>
      <c r="I855" s="64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</row>
    <row r="856" spans="4:43" ht="14.25" customHeight="1" x14ac:dyDescent="0.35">
      <c r="D856" s="63"/>
      <c r="F856" s="64"/>
      <c r="G856" s="65"/>
      <c r="H856" s="64"/>
      <c r="I856" s="64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</row>
    <row r="857" spans="4:43" ht="14.25" customHeight="1" x14ac:dyDescent="0.35">
      <c r="D857" s="63"/>
      <c r="F857" s="64"/>
      <c r="G857" s="65"/>
      <c r="H857" s="64"/>
      <c r="I857" s="64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</row>
    <row r="858" spans="4:43" ht="14.25" customHeight="1" x14ac:dyDescent="0.35">
      <c r="D858" s="63"/>
      <c r="F858" s="64"/>
      <c r="G858" s="65"/>
      <c r="H858" s="64"/>
      <c r="I858" s="64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</row>
    <row r="859" spans="4:43" ht="14.25" customHeight="1" x14ac:dyDescent="0.35">
      <c r="D859" s="63"/>
      <c r="F859" s="64"/>
      <c r="G859" s="65"/>
      <c r="H859" s="64"/>
      <c r="I859" s="64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</row>
    <row r="860" spans="4:43" ht="14.25" customHeight="1" x14ac:dyDescent="0.35">
      <c r="D860" s="63"/>
      <c r="F860" s="64"/>
      <c r="G860" s="65"/>
      <c r="H860" s="64"/>
      <c r="I860" s="64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</row>
    <row r="861" spans="4:43" ht="14.25" customHeight="1" x14ac:dyDescent="0.35">
      <c r="D861" s="63"/>
      <c r="F861" s="64"/>
      <c r="G861" s="65"/>
      <c r="H861" s="64"/>
      <c r="I861" s="64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</row>
    <row r="862" spans="4:43" ht="14.25" customHeight="1" x14ac:dyDescent="0.35">
      <c r="D862" s="63"/>
      <c r="F862" s="64"/>
      <c r="G862" s="65"/>
      <c r="H862" s="64"/>
      <c r="I862" s="64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</row>
    <row r="863" spans="4:43" ht="14.25" customHeight="1" x14ac:dyDescent="0.35">
      <c r="D863" s="63"/>
      <c r="F863" s="64"/>
      <c r="G863" s="65"/>
      <c r="H863" s="64"/>
      <c r="I863" s="64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</row>
    <row r="864" spans="4:43" ht="14.25" customHeight="1" x14ac:dyDescent="0.35">
      <c r="D864" s="63"/>
      <c r="F864" s="64"/>
      <c r="G864" s="65"/>
      <c r="H864" s="64"/>
      <c r="I864" s="64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</row>
    <row r="865" spans="4:43" ht="14.25" customHeight="1" x14ac:dyDescent="0.35">
      <c r="D865" s="63"/>
      <c r="F865" s="64"/>
      <c r="G865" s="65"/>
      <c r="H865" s="64"/>
      <c r="I865" s="64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</row>
    <row r="866" spans="4:43" ht="14.25" customHeight="1" x14ac:dyDescent="0.35">
      <c r="D866" s="63"/>
      <c r="F866" s="64"/>
      <c r="G866" s="65"/>
      <c r="H866" s="64"/>
      <c r="I866" s="64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</row>
    <row r="867" spans="4:43" ht="14.25" customHeight="1" x14ac:dyDescent="0.35">
      <c r="D867" s="63"/>
      <c r="F867" s="64"/>
      <c r="G867" s="65"/>
      <c r="H867" s="64"/>
      <c r="I867" s="64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</row>
    <row r="868" spans="4:43" ht="14.25" customHeight="1" x14ac:dyDescent="0.35">
      <c r="D868" s="63"/>
      <c r="F868" s="64"/>
      <c r="G868" s="65"/>
      <c r="H868" s="64"/>
      <c r="I868" s="64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</row>
    <row r="869" spans="4:43" ht="14.25" customHeight="1" x14ac:dyDescent="0.35">
      <c r="D869" s="63"/>
      <c r="F869" s="64"/>
      <c r="G869" s="65"/>
      <c r="H869" s="64"/>
      <c r="I869" s="64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</row>
    <row r="870" spans="4:43" ht="14.25" customHeight="1" x14ac:dyDescent="0.35">
      <c r="D870" s="63"/>
      <c r="F870" s="64"/>
      <c r="G870" s="65"/>
      <c r="H870" s="64"/>
      <c r="I870" s="64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</row>
    <row r="871" spans="4:43" ht="14.25" customHeight="1" x14ac:dyDescent="0.35">
      <c r="D871" s="63"/>
      <c r="F871" s="64"/>
      <c r="G871" s="65"/>
      <c r="H871" s="64"/>
      <c r="I871" s="64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</row>
    <row r="872" spans="4:43" ht="14.25" customHeight="1" x14ac:dyDescent="0.35">
      <c r="D872" s="63"/>
      <c r="F872" s="64"/>
      <c r="G872" s="65"/>
      <c r="H872" s="64"/>
      <c r="I872" s="64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</row>
    <row r="873" spans="4:43" ht="14.25" customHeight="1" x14ac:dyDescent="0.35">
      <c r="D873" s="63"/>
      <c r="F873" s="64"/>
      <c r="G873" s="65"/>
      <c r="H873" s="64"/>
      <c r="I873" s="64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</row>
    <row r="874" spans="4:43" ht="14.25" customHeight="1" x14ac:dyDescent="0.35">
      <c r="D874" s="63"/>
      <c r="F874" s="64"/>
      <c r="G874" s="65"/>
      <c r="H874" s="64"/>
      <c r="I874" s="64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</row>
    <row r="875" spans="4:43" ht="14.25" customHeight="1" x14ac:dyDescent="0.35">
      <c r="D875" s="63"/>
      <c r="F875" s="64"/>
      <c r="G875" s="65"/>
      <c r="H875" s="64"/>
      <c r="I875" s="64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</row>
    <row r="876" spans="4:43" ht="14.25" customHeight="1" x14ac:dyDescent="0.35">
      <c r="D876" s="63"/>
      <c r="F876" s="64"/>
      <c r="G876" s="65"/>
      <c r="H876" s="64"/>
      <c r="I876" s="64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</row>
    <row r="877" spans="4:43" ht="14.25" customHeight="1" x14ac:dyDescent="0.35">
      <c r="D877" s="63"/>
      <c r="F877" s="64"/>
      <c r="G877" s="65"/>
      <c r="H877" s="64"/>
      <c r="I877" s="64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</row>
    <row r="878" spans="4:43" ht="14.25" customHeight="1" x14ac:dyDescent="0.35">
      <c r="D878" s="63"/>
      <c r="F878" s="64"/>
      <c r="G878" s="65"/>
      <c r="H878" s="64"/>
      <c r="I878" s="64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</row>
    <row r="879" spans="4:43" ht="14.25" customHeight="1" x14ac:dyDescent="0.35">
      <c r="D879" s="63"/>
      <c r="F879" s="64"/>
      <c r="G879" s="65"/>
      <c r="H879" s="64"/>
      <c r="I879" s="64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</row>
    <row r="880" spans="4:43" ht="14.25" customHeight="1" x14ac:dyDescent="0.35">
      <c r="D880" s="63"/>
      <c r="F880" s="64"/>
      <c r="G880" s="65"/>
      <c r="H880" s="64"/>
      <c r="I880" s="64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</row>
    <row r="881" spans="4:43" ht="14.25" customHeight="1" x14ac:dyDescent="0.35">
      <c r="D881" s="63"/>
      <c r="F881" s="64"/>
      <c r="G881" s="65"/>
      <c r="H881" s="64"/>
      <c r="I881" s="64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</row>
    <row r="882" spans="4:43" ht="14.25" customHeight="1" x14ac:dyDescent="0.35">
      <c r="D882" s="63"/>
      <c r="F882" s="64"/>
      <c r="G882" s="65"/>
      <c r="H882" s="64"/>
      <c r="I882" s="64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</row>
    <row r="883" spans="4:43" ht="14.25" customHeight="1" x14ac:dyDescent="0.35">
      <c r="D883" s="63"/>
      <c r="F883" s="64"/>
      <c r="G883" s="65"/>
      <c r="H883" s="64"/>
      <c r="I883" s="64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</row>
    <row r="884" spans="4:43" ht="14.25" customHeight="1" x14ac:dyDescent="0.35">
      <c r="D884" s="63"/>
      <c r="F884" s="64"/>
      <c r="G884" s="65"/>
      <c r="H884" s="64"/>
      <c r="I884" s="64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</row>
    <row r="885" spans="4:43" ht="14.25" customHeight="1" x14ac:dyDescent="0.35">
      <c r="D885" s="63"/>
      <c r="F885" s="64"/>
      <c r="G885" s="65"/>
      <c r="H885" s="64"/>
      <c r="I885" s="64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</row>
    <row r="886" spans="4:43" ht="14.25" customHeight="1" x14ac:dyDescent="0.35">
      <c r="D886" s="63"/>
      <c r="F886" s="64"/>
      <c r="G886" s="65"/>
      <c r="H886" s="64"/>
      <c r="I886" s="64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</row>
    <row r="887" spans="4:43" ht="14.25" customHeight="1" x14ac:dyDescent="0.35">
      <c r="D887" s="63"/>
      <c r="F887" s="64"/>
      <c r="G887" s="65"/>
      <c r="H887" s="64"/>
      <c r="I887" s="64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</row>
    <row r="888" spans="4:43" ht="14.25" customHeight="1" x14ac:dyDescent="0.35">
      <c r="D888" s="63"/>
      <c r="F888" s="64"/>
      <c r="G888" s="65"/>
      <c r="H888" s="64"/>
      <c r="I888" s="64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</row>
    <row r="889" spans="4:43" ht="14.25" customHeight="1" x14ac:dyDescent="0.35">
      <c r="D889" s="63"/>
      <c r="F889" s="64"/>
      <c r="G889" s="65"/>
      <c r="H889" s="64"/>
      <c r="I889" s="64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</row>
    <row r="890" spans="4:43" ht="14.25" customHeight="1" x14ac:dyDescent="0.35">
      <c r="D890" s="63"/>
      <c r="F890" s="64"/>
      <c r="G890" s="65"/>
      <c r="H890" s="64"/>
      <c r="I890" s="64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</row>
    <row r="891" spans="4:43" ht="14.25" customHeight="1" x14ac:dyDescent="0.35">
      <c r="D891" s="63"/>
      <c r="F891" s="64"/>
      <c r="G891" s="65"/>
      <c r="H891" s="64"/>
      <c r="I891" s="64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</row>
    <row r="892" spans="4:43" ht="14.25" customHeight="1" x14ac:dyDescent="0.35">
      <c r="D892" s="63"/>
      <c r="F892" s="64"/>
      <c r="G892" s="65"/>
      <c r="H892" s="64"/>
      <c r="I892" s="64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</row>
    <row r="893" spans="4:43" ht="14.25" customHeight="1" x14ac:dyDescent="0.35">
      <c r="D893" s="63"/>
      <c r="F893" s="64"/>
      <c r="G893" s="65"/>
      <c r="H893" s="64"/>
      <c r="I893" s="64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</row>
    <row r="894" spans="4:43" ht="14.25" customHeight="1" x14ac:dyDescent="0.35">
      <c r="D894" s="63"/>
      <c r="F894" s="64"/>
      <c r="G894" s="65"/>
      <c r="H894" s="64"/>
      <c r="I894" s="64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</row>
    <row r="895" spans="4:43" ht="14.25" customHeight="1" x14ac:dyDescent="0.35">
      <c r="D895" s="63"/>
      <c r="F895" s="64"/>
      <c r="G895" s="65"/>
      <c r="H895" s="64"/>
      <c r="I895" s="64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</row>
    <row r="896" spans="4:43" ht="14.25" customHeight="1" x14ac:dyDescent="0.35">
      <c r="D896" s="63"/>
      <c r="F896" s="64"/>
      <c r="G896" s="65"/>
      <c r="H896" s="64"/>
      <c r="I896" s="64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</row>
    <row r="897" spans="4:43" ht="14.25" customHeight="1" x14ac:dyDescent="0.35">
      <c r="D897" s="63"/>
      <c r="F897" s="64"/>
      <c r="G897" s="65"/>
      <c r="H897" s="64"/>
      <c r="I897" s="64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</row>
    <row r="898" spans="4:43" ht="14.25" customHeight="1" x14ac:dyDescent="0.35">
      <c r="D898" s="63"/>
      <c r="F898" s="64"/>
      <c r="G898" s="65"/>
      <c r="H898" s="64"/>
      <c r="I898" s="64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</row>
    <row r="899" spans="4:43" ht="14.25" customHeight="1" x14ac:dyDescent="0.35">
      <c r="D899" s="63"/>
      <c r="F899" s="64"/>
      <c r="G899" s="65"/>
      <c r="H899" s="64"/>
      <c r="I899" s="64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</row>
    <row r="900" spans="4:43" ht="14.25" customHeight="1" x14ac:dyDescent="0.35">
      <c r="D900" s="63"/>
      <c r="F900" s="64"/>
      <c r="G900" s="65"/>
      <c r="H900" s="64"/>
      <c r="I900" s="64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</row>
    <row r="901" spans="4:43" ht="14.25" customHeight="1" x14ac:dyDescent="0.35">
      <c r="D901" s="63"/>
      <c r="F901" s="64"/>
      <c r="G901" s="65"/>
      <c r="H901" s="64"/>
      <c r="I901" s="64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</row>
    <row r="902" spans="4:43" ht="14.25" customHeight="1" x14ac:dyDescent="0.35">
      <c r="D902" s="63"/>
      <c r="F902" s="64"/>
      <c r="G902" s="65"/>
      <c r="H902" s="64"/>
      <c r="I902" s="64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</row>
    <row r="903" spans="4:43" ht="14.25" customHeight="1" x14ac:dyDescent="0.35">
      <c r="D903" s="63"/>
      <c r="F903" s="64"/>
      <c r="G903" s="65"/>
      <c r="H903" s="64"/>
      <c r="I903" s="64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</row>
    <row r="904" spans="4:43" ht="14.25" customHeight="1" x14ac:dyDescent="0.35">
      <c r="D904" s="63"/>
      <c r="F904" s="64"/>
      <c r="G904" s="65"/>
      <c r="H904" s="64"/>
      <c r="I904" s="64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</row>
    <row r="905" spans="4:43" ht="14.25" customHeight="1" x14ac:dyDescent="0.35">
      <c r="D905" s="63"/>
      <c r="F905" s="64"/>
      <c r="G905" s="65"/>
      <c r="H905" s="64"/>
      <c r="I905" s="64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</row>
    <row r="906" spans="4:43" ht="14.25" customHeight="1" x14ac:dyDescent="0.35">
      <c r="D906" s="63"/>
      <c r="F906" s="64"/>
      <c r="G906" s="65"/>
      <c r="H906" s="64"/>
      <c r="I906" s="64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</row>
    <row r="907" spans="4:43" ht="14.25" customHeight="1" x14ac:dyDescent="0.35">
      <c r="D907" s="63"/>
      <c r="F907" s="64"/>
      <c r="G907" s="65"/>
      <c r="H907" s="64"/>
      <c r="I907" s="64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</row>
    <row r="908" spans="4:43" ht="14.25" customHeight="1" x14ac:dyDescent="0.35">
      <c r="D908" s="63"/>
      <c r="F908" s="64"/>
      <c r="G908" s="65"/>
      <c r="H908" s="64"/>
      <c r="I908" s="64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</row>
    <row r="909" spans="4:43" ht="14.25" customHeight="1" x14ac:dyDescent="0.35">
      <c r="D909" s="63"/>
      <c r="F909" s="64"/>
      <c r="G909" s="65"/>
      <c r="H909" s="64"/>
      <c r="I909" s="64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</row>
    <row r="910" spans="4:43" ht="14.25" customHeight="1" x14ac:dyDescent="0.35">
      <c r="D910" s="63"/>
      <c r="F910" s="64"/>
      <c r="G910" s="65"/>
      <c r="H910" s="64"/>
      <c r="I910" s="64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</row>
    <row r="911" spans="4:43" ht="14.25" customHeight="1" x14ac:dyDescent="0.35">
      <c r="D911" s="63"/>
      <c r="F911" s="64"/>
      <c r="G911" s="65"/>
      <c r="H911" s="64"/>
      <c r="I911" s="64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</row>
    <row r="912" spans="4:43" ht="14.25" customHeight="1" x14ac:dyDescent="0.35">
      <c r="D912" s="63"/>
      <c r="F912" s="64"/>
      <c r="G912" s="65"/>
      <c r="H912" s="64"/>
      <c r="I912" s="64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</row>
    <row r="913" spans="4:43" ht="14.25" customHeight="1" x14ac:dyDescent="0.35">
      <c r="D913" s="63"/>
      <c r="F913" s="64"/>
      <c r="G913" s="65"/>
      <c r="H913" s="64"/>
      <c r="I913" s="64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</row>
    <row r="914" spans="4:43" ht="14.25" customHeight="1" x14ac:dyDescent="0.35">
      <c r="D914" s="63"/>
      <c r="F914" s="64"/>
      <c r="G914" s="65"/>
      <c r="H914" s="64"/>
      <c r="I914" s="64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</row>
    <row r="915" spans="4:43" ht="14.25" customHeight="1" x14ac:dyDescent="0.35">
      <c r="D915" s="63"/>
      <c r="F915" s="64"/>
      <c r="G915" s="65"/>
      <c r="H915" s="64"/>
      <c r="I915" s="64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</row>
    <row r="916" spans="4:43" ht="14.25" customHeight="1" x14ac:dyDescent="0.35">
      <c r="D916" s="63"/>
      <c r="F916" s="64"/>
      <c r="G916" s="65"/>
      <c r="H916" s="64"/>
      <c r="I916" s="64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</row>
    <row r="917" spans="4:43" ht="14.25" customHeight="1" x14ac:dyDescent="0.35">
      <c r="D917" s="63"/>
      <c r="F917" s="64"/>
      <c r="G917" s="65"/>
      <c r="H917" s="64"/>
      <c r="I917" s="64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</row>
    <row r="918" spans="4:43" ht="14.25" customHeight="1" x14ac:dyDescent="0.35">
      <c r="D918" s="63"/>
      <c r="F918" s="64"/>
      <c r="G918" s="65"/>
      <c r="H918" s="64"/>
      <c r="I918" s="64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</row>
    <row r="919" spans="4:43" ht="14.25" customHeight="1" x14ac:dyDescent="0.35">
      <c r="D919" s="63"/>
      <c r="F919" s="64"/>
      <c r="G919" s="65"/>
      <c r="H919" s="64"/>
      <c r="I919" s="64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</row>
    <row r="920" spans="4:43" ht="14.25" customHeight="1" x14ac:dyDescent="0.35">
      <c r="D920" s="63"/>
      <c r="F920" s="64"/>
      <c r="G920" s="65"/>
      <c r="H920" s="64"/>
      <c r="I920" s="64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</row>
    <row r="921" spans="4:43" ht="14.25" customHeight="1" x14ac:dyDescent="0.35">
      <c r="D921" s="63"/>
      <c r="F921" s="64"/>
      <c r="G921" s="65"/>
      <c r="H921" s="64"/>
      <c r="I921" s="64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</row>
    <row r="922" spans="4:43" ht="14.25" customHeight="1" x14ac:dyDescent="0.35">
      <c r="D922" s="63"/>
      <c r="F922" s="64"/>
      <c r="G922" s="65"/>
      <c r="H922" s="64"/>
      <c r="I922" s="64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</row>
    <row r="923" spans="4:43" ht="14.25" customHeight="1" x14ac:dyDescent="0.35">
      <c r="D923" s="63"/>
      <c r="F923" s="64"/>
      <c r="G923" s="65"/>
      <c r="H923" s="64"/>
      <c r="I923" s="64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</row>
    <row r="924" spans="4:43" ht="14.25" customHeight="1" x14ac:dyDescent="0.35">
      <c r="D924" s="63"/>
      <c r="F924" s="64"/>
      <c r="G924" s="65"/>
      <c r="H924" s="64"/>
      <c r="I924" s="64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</row>
    <row r="925" spans="4:43" ht="14.25" customHeight="1" x14ac:dyDescent="0.35">
      <c r="D925" s="63"/>
      <c r="F925" s="64"/>
      <c r="G925" s="65"/>
      <c r="H925" s="64"/>
      <c r="I925" s="64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</row>
    <row r="926" spans="4:43" ht="14.25" customHeight="1" x14ac:dyDescent="0.35">
      <c r="D926" s="63"/>
      <c r="F926" s="64"/>
      <c r="G926" s="65"/>
      <c r="H926" s="64"/>
      <c r="I926" s="64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</row>
    <row r="927" spans="4:43" ht="14.25" customHeight="1" x14ac:dyDescent="0.35">
      <c r="D927" s="63"/>
      <c r="F927" s="64"/>
      <c r="G927" s="65"/>
      <c r="H927" s="64"/>
      <c r="I927" s="64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</row>
    <row r="928" spans="4:43" ht="14.25" customHeight="1" x14ac:dyDescent="0.35">
      <c r="D928" s="63"/>
      <c r="F928" s="64"/>
      <c r="G928" s="65"/>
      <c r="H928" s="64"/>
      <c r="I928" s="64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</row>
    <row r="929" spans="4:43" ht="14.25" customHeight="1" x14ac:dyDescent="0.35">
      <c r="D929" s="63"/>
      <c r="F929" s="64"/>
      <c r="G929" s="65"/>
      <c r="H929" s="64"/>
      <c r="I929" s="64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</row>
    <row r="930" spans="4:43" ht="14.25" customHeight="1" x14ac:dyDescent="0.35">
      <c r="D930" s="63"/>
      <c r="F930" s="64"/>
      <c r="G930" s="65"/>
      <c r="H930" s="64"/>
      <c r="I930" s="64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</row>
    <row r="931" spans="4:43" ht="14.25" customHeight="1" x14ac:dyDescent="0.35">
      <c r="D931" s="63"/>
      <c r="F931" s="64"/>
      <c r="G931" s="65"/>
      <c r="H931" s="64"/>
      <c r="I931" s="64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</row>
    <row r="932" spans="4:43" ht="14.25" customHeight="1" x14ac:dyDescent="0.35">
      <c r="D932" s="63"/>
      <c r="F932" s="64"/>
      <c r="G932" s="65"/>
      <c r="H932" s="64"/>
      <c r="I932" s="64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</row>
    <row r="933" spans="4:43" ht="14.25" customHeight="1" x14ac:dyDescent="0.35">
      <c r="D933" s="63"/>
      <c r="F933" s="64"/>
      <c r="G933" s="65"/>
      <c r="H933" s="64"/>
      <c r="I933" s="64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</row>
    <row r="934" spans="4:43" ht="14.25" customHeight="1" x14ac:dyDescent="0.35">
      <c r="D934" s="63"/>
      <c r="F934" s="64"/>
      <c r="G934" s="65"/>
      <c r="H934" s="64"/>
      <c r="I934" s="64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</row>
    <row r="935" spans="4:43" ht="14.25" customHeight="1" x14ac:dyDescent="0.35">
      <c r="D935" s="63"/>
      <c r="F935" s="64"/>
      <c r="G935" s="65"/>
      <c r="H935" s="64"/>
      <c r="I935" s="64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</row>
    <row r="936" spans="4:43" ht="14.25" customHeight="1" x14ac:dyDescent="0.35">
      <c r="D936" s="63"/>
      <c r="F936" s="64"/>
      <c r="G936" s="65"/>
      <c r="H936" s="64"/>
      <c r="I936" s="64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</row>
    <row r="937" spans="4:43" ht="14.25" customHeight="1" x14ac:dyDescent="0.35">
      <c r="D937" s="63"/>
      <c r="F937" s="64"/>
      <c r="G937" s="65"/>
      <c r="H937" s="64"/>
      <c r="I937" s="64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</row>
    <row r="938" spans="4:43" ht="14.25" customHeight="1" x14ac:dyDescent="0.35">
      <c r="D938" s="63"/>
      <c r="F938" s="64"/>
      <c r="G938" s="65"/>
      <c r="H938" s="64"/>
      <c r="I938" s="64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</row>
    <row r="939" spans="4:43" ht="14.25" customHeight="1" x14ac:dyDescent="0.35">
      <c r="D939" s="63"/>
      <c r="F939" s="64"/>
      <c r="G939" s="65"/>
      <c r="H939" s="64"/>
      <c r="I939" s="64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</row>
    <row r="940" spans="4:43" ht="14.25" customHeight="1" x14ac:dyDescent="0.35">
      <c r="D940" s="63"/>
      <c r="F940" s="64"/>
      <c r="G940" s="65"/>
      <c r="H940" s="64"/>
      <c r="I940" s="64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</row>
    <row r="941" spans="4:43" ht="14.25" customHeight="1" x14ac:dyDescent="0.35">
      <c r="D941" s="63"/>
      <c r="F941" s="64"/>
      <c r="G941" s="65"/>
      <c r="H941" s="64"/>
      <c r="I941" s="64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</row>
    <row r="942" spans="4:43" ht="14.25" customHeight="1" x14ac:dyDescent="0.35">
      <c r="D942" s="63"/>
      <c r="F942" s="64"/>
      <c r="G942" s="65"/>
      <c r="H942" s="64"/>
      <c r="I942" s="64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</row>
    <row r="943" spans="4:43" ht="14.25" customHeight="1" x14ac:dyDescent="0.35">
      <c r="D943" s="63"/>
      <c r="F943" s="64"/>
      <c r="G943" s="65"/>
      <c r="H943" s="64"/>
      <c r="I943" s="64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</row>
    <row r="944" spans="4:43" ht="14.25" customHeight="1" x14ac:dyDescent="0.35">
      <c r="D944" s="63"/>
      <c r="F944" s="64"/>
      <c r="G944" s="65"/>
      <c r="H944" s="64"/>
      <c r="I944" s="64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</row>
    <row r="945" spans="4:43" ht="14.25" customHeight="1" x14ac:dyDescent="0.35">
      <c r="D945" s="63"/>
      <c r="F945" s="64"/>
      <c r="G945" s="65"/>
      <c r="H945" s="64"/>
      <c r="I945" s="64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</row>
    <row r="946" spans="4:43" ht="14.25" customHeight="1" x14ac:dyDescent="0.35">
      <c r="D946" s="63"/>
      <c r="F946" s="64"/>
      <c r="G946" s="65"/>
      <c r="H946" s="64"/>
      <c r="I946" s="64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</row>
    <row r="947" spans="4:43" ht="14.25" customHeight="1" x14ac:dyDescent="0.35">
      <c r="D947" s="63"/>
      <c r="F947" s="64"/>
      <c r="G947" s="65"/>
      <c r="H947" s="64"/>
      <c r="I947" s="64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</row>
    <row r="948" spans="4:43" ht="14.25" customHeight="1" x14ac:dyDescent="0.35">
      <c r="D948" s="63"/>
      <c r="F948" s="64"/>
      <c r="G948" s="65"/>
      <c r="H948" s="64"/>
      <c r="I948" s="64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</row>
    <row r="949" spans="4:43" ht="14.25" customHeight="1" x14ac:dyDescent="0.35">
      <c r="D949" s="63"/>
      <c r="F949" s="64"/>
      <c r="G949" s="65"/>
      <c r="H949" s="64"/>
      <c r="I949" s="64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</row>
    <row r="950" spans="4:43" ht="14.25" customHeight="1" x14ac:dyDescent="0.35">
      <c r="D950" s="63"/>
      <c r="F950" s="64"/>
      <c r="G950" s="65"/>
      <c r="H950" s="64"/>
      <c r="I950" s="64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</row>
    <row r="951" spans="4:43" ht="14.25" customHeight="1" x14ac:dyDescent="0.35">
      <c r="D951" s="63"/>
      <c r="F951" s="64"/>
      <c r="G951" s="65"/>
      <c r="H951" s="64"/>
      <c r="I951" s="64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</row>
    <row r="952" spans="4:43" ht="14.25" customHeight="1" x14ac:dyDescent="0.35">
      <c r="D952" s="63"/>
      <c r="F952" s="64"/>
      <c r="G952" s="65"/>
      <c r="H952" s="64"/>
      <c r="I952" s="64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</row>
    <row r="953" spans="4:43" ht="14.25" customHeight="1" x14ac:dyDescent="0.35">
      <c r="D953" s="63"/>
      <c r="F953" s="64"/>
      <c r="G953" s="65"/>
      <c r="H953" s="64"/>
      <c r="I953" s="64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</row>
    <row r="954" spans="4:43" ht="14.25" customHeight="1" x14ac:dyDescent="0.35">
      <c r="D954" s="63"/>
      <c r="F954" s="64"/>
      <c r="G954" s="65"/>
      <c r="H954" s="64"/>
      <c r="I954" s="64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</row>
    <row r="955" spans="4:43" ht="14.25" customHeight="1" x14ac:dyDescent="0.35">
      <c r="D955" s="63"/>
      <c r="F955" s="64"/>
      <c r="G955" s="65"/>
      <c r="H955" s="64"/>
      <c r="I955" s="64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</row>
    <row r="956" spans="4:43" ht="14.25" customHeight="1" x14ac:dyDescent="0.35">
      <c r="D956" s="63"/>
      <c r="F956" s="64"/>
      <c r="G956" s="65"/>
      <c r="H956" s="64"/>
      <c r="I956" s="64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</row>
    <row r="957" spans="4:43" ht="14.25" customHeight="1" x14ac:dyDescent="0.35">
      <c r="D957" s="63"/>
      <c r="F957" s="64"/>
      <c r="G957" s="65"/>
      <c r="H957" s="64"/>
      <c r="I957" s="64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</row>
    <row r="958" spans="4:43" ht="14.25" customHeight="1" x14ac:dyDescent="0.35">
      <c r="D958" s="63"/>
      <c r="F958" s="64"/>
      <c r="G958" s="65"/>
      <c r="H958" s="64"/>
      <c r="I958" s="64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</row>
    <row r="959" spans="4:43" ht="14.25" customHeight="1" x14ac:dyDescent="0.35">
      <c r="D959" s="63"/>
      <c r="F959" s="64"/>
      <c r="G959" s="65"/>
      <c r="H959" s="64"/>
      <c r="I959" s="64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</row>
    <row r="960" spans="4:43" ht="14.25" customHeight="1" x14ac:dyDescent="0.35">
      <c r="D960" s="63"/>
      <c r="F960" s="64"/>
      <c r="G960" s="65"/>
      <c r="H960" s="64"/>
      <c r="I960" s="64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</row>
    <row r="961" spans="4:43" ht="14.25" customHeight="1" x14ac:dyDescent="0.35">
      <c r="D961" s="63"/>
      <c r="F961" s="64"/>
      <c r="G961" s="65"/>
      <c r="H961" s="64"/>
      <c r="I961" s="64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</row>
    <row r="962" spans="4:43" ht="14.25" customHeight="1" x14ac:dyDescent="0.35">
      <c r="D962" s="63"/>
      <c r="F962" s="64"/>
      <c r="G962" s="65"/>
      <c r="H962" s="64"/>
      <c r="I962" s="64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</row>
    <row r="963" spans="4:43" ht="14.25" customHeight="1" x14ac:dyDescent="0.35">
      <c r="D963" s="63"/>
      <c r="F963" s="64"/>
      <c r="G963" s="65"/>
      <c r="H963" s="64"/>
      <c r="I963" s="64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</row>
    <row r="964" spans="4:43" ht="14.25" customHeight="1" x14ac:dyDescent="0.35">
      <c r="D964" s="63"/>
      <c r="F964" s="64"/>
      <c r="G964" s="65"/>
      <c r="H964" s="64"/>
      <c r="I964" s="64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</row>
    <row r="965" spans="4:43" ht="14.25" customHeight="1" x14ac:dyDescent="0.35">
      <c r="D965" s="63"/>
      <c r="F965" s="64"/>
      <c r="G965" s="65"/>
      <c r="H965" s="64"/>
      <c r="I965" s="64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</row>
    <row r="966" spans="4:43" ht="14.25" customHeight="1" x14ac:dyDescent="0.35">
      <c r="D966" s="63"/>
      <c r="F966" s="64"/>
      <c r="G966" s="65"/>
      <c r="H966" s="64"/>
      <c r="I966" s="64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</row>
    <row r="967" spans="4:43" ht="14.25" customHeight="1" x14ac:dyDescent="0.35">
      <c r="D967" s="63"/>
      <c r="F967" s="64"/>
      <c r="G967" s="65"/>
      <c r="H967" s="64"/>
      <c r="I967" s="64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</row>
    <row r="968" spans="4:43" ht="14.25" customHeight="1" x14ac:dyDescent="0.35">
      <c r="D968" s="63"/>
      <c r="F968" s="64"/>
      <c r="G968" s="65"/>
      <c r="H968" s="64"/>
      <c r="I968" s="64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</row>
    <row r="969" spans="4:43" ht="14.25" customHeight="1" x14ac:dyDescent="0.35">
      <c r="D969" s="63"/>
      <c r="F969" s="64"/>
      <c r="G969" s="65"/>
      <c r="H969" s="64"/>
      <c r="I969" s="64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</row>
    <row r="970" spans="4:43" ht="14.25" customHeight="1" x14ac:dyDescent="0.35">
      <c r="D970" s="63"/>
      <c r="F970" s="64"/>
      <c r="G970" s="65"/>
      <c r="H970" s="64"/>
      <c r="I970" s="64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</row>
    <row r="971" spans="4:43" ht="14.25" customHeight="1" x14ac:dyDescent="0.35">
      <c r="D971" s="63"/>
      <c r="F971" s="64"/>
      <c r="G971" s="65"/>
      <c r="H971" s="64"/>
      <c r="I971" s="64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</row>
    <row r="972" spans="4:43" ht="14.25" customHeight="1" x14ac:dyDescent="0.35">
      <c r="D972" s="63"/>
      <c r="F972" s="64"/>
      <c r="G972" s="65"/>
      <c r="H972" s="64"/>
      <c r="I972" s="64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</row>
    <row r="973" spans="4:43" ht="14.25" customHeight="1" x14ac:dyDescent="0.35">
      <c r="D973" s="63"/>
      <c r="F973" s="64"/>
      <c r="G973" s="65"/>
      <c r="H973" s="64"/>
      <c r="I973" s="64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</row>
    <row r="974" spans="4:43" ht="14.25" customHeight="1" x14ac:dyDescent="0.35">
      <c r="D974" s="63"/>
      <c r="F974" s="64"/>
      <c r="G974" s="65"/>
      <c r="H974" s="64"/>
      <c r="I974" s="64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</row>
    <row r="975" spans="4:43" ht="14.25" customHeight="1" x14ac:dyDescent="0.35">
      <c r="D975" s="63"/>
      <c r="F975" s="64"/>
      <c r="G975" s="65"/>
      <c r="H975" s="64"/>
      <c r="I975" s="64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</row>
    <row r="976" spans="4:43" ht="14.25" customHeight="1" x14ac:dyDescent="0.35">
      <c r="D976" s="63"/>
      <c r="F976" s="64"/>
      <c r="G976" s="65"/>
      <c r="H976" s="64"/>
      <c r="I976" s="64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</row>
    <row r="977" spans="4:43" ht="14.25" customHeight="1" x14ac:dyDescent="0.35">
      <c r="D977" s="63"/>
      <c r="F977" s="64"/>
      <c r="G977" s="65"/>
      <c r="H977" s="64"/>
      <c r="I977" s="64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</row>
    <row r="978" spans="4:43" ht="14.25" customHeight="1" x14ac:dyDescent="0.35">
      <c r="D978" s="63"/>
      <c r="F978" s="64"/>
      <c r="G978" s="65"/>
      <c r="H978" s="64"/>
      <c r="I978" s="64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</row>
    <row r="979" spans="4:43" ht="14.25" customHeight="1" x14ac:dyDescent="0.35">
      <c r="D979" s="63"/>
      <c r="F979" s="64"/>
      <c r="G979" s="65"/>
      <c r="H979" s="64"/>
      <c r="I979" s="64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</row>
    <row r="980" spans="4:43" ht="14.25" customHeight="1" x14ac:dyDescent="0.35">
      <c r="D980" s="63"/>
      <c r="F980" s="64"/>
      <c r="G980" s="65"/>
      <c r="H980" s="64"/>
      <c r="I980" s="64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</row>
    <row r="981" spans="4:43" ht="14.25" customHeight="1" x14ac:dyDescent="0.35">
      <c r="D981" s="63"/>
      <c r="F981" s="64"/>
      <c r="G981" s="65"/>
      <c r="H981" s="64"/>
      <c r="I981" s="64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</row>
    <row r="982" spans="4:43" ht="14.25" customHeight="1" x14ac:dyDescent="0.35">
      <c r="D982" s="63"/>
      <c r="F982" s="64"/>
      <c r="G982" s="65"/>
      <c r="H982" s="64"/>
      <c r="I982" s="64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</row>
    <row r="983" spans="4:43" ht="14.25" customHeight="1" x14ac:dyDescent="0.35">
      <c r="D983" s="63"/>
      <c r="F983" s="64"/>
      <c r="G983" s="65"/>
      <c r="H983" s="64"/>
      <c r="I983" s="64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</row>
    <row r="984" spans="4:43" ht="14.25" customHeight="1" x14ac:dyDescent="0.35">
      <c r="D984" s="63"/>
      <c r="F984" s="64"/>
      <c r="G984" s="65"/>
      <c r="H984" s="64"/>
      <c r="I984" s="64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</row>
    <row r="985" spans="4:43" ht="14.25" customHeight="1" x14ac:dyDescent="0.35">
      <c r="D985" s="63"/>
      <c r="F985" s="64"/>
      <c r="G985" s="65"/>
      <c r="H985" s="64"/>
      <c r="I985" s="64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</row>
    <row r="986" spans="4:43" ht="14.25" customHeight="1" x14ac:dyDescent="0.35">
      <c r="D986" s="63"/>
      <c r="F986" s="64"/>
      <c r="G986" s="65"/>
      <c r="H986" s="64"/>
      <c r="I986" s="64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</row>
    <row r="987" spans="4:43" ht="14.25" customHeight="1" x14ac:dyDescent="0.35">
      <c r="D987" s="63"/>
      <c r="F987" s="64"/>
      <c r="G987" s="65"/>
      <c r="H987" s="64"/>
      <c r="I987" s="64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</row>
    <row r="988" spans="4:43" ht="14.25" customHeight="1" x14ac:dyDescent="0.35">
      <c r="D988" s="63"/>
      <c r="F988" s="64"/>
      <c r="G988" s="65"/>
      <c r="H988" s="64"/>
      <c r="I988" s="64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</row>
    <row r="989" spans="4:43" ht="14.25" customHeight="1" x14ac:dyDescent="0.35">
      <c r="D989" s="63"/>
      <c r="F989" s="64"/>
      <c r="G989" s="65"/>
      <c r="H989" s="64"/>
      <c r="I989" s="64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</row>
    <row r="990" spans="4:43" ht="14.25" customHeight="1" x14ac:dyDescent="0.35">
      <c r="D990" s="63"/>
      <c r="F990" s="64"/>
      <c r="G990" s="65"/>
      <c r="H990" s="64"/>
      <c r="I990" s="64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</row>
    <row r="991" spans="4:43" ht="14.25" customHeight="1" x14ac:dyDescent="0.35">
      <c r="D991" s="63"/>
      <c r="F991" s="64"/>
      <c r="G991" s="65"/>
      <c r="H991" s="64"/>
      <c r="I991" s="64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</row>
    <row r="992" spans="4:43" ht="14.25" customHeight="1" x14ac:dyDescent="0.35">
      <c r="D992" s="63"/>
      <c r="F992" s="64"/>
      <c r="G992" s="65"/>
      <c r="H992" s="64"/>
      <c r="I992" s="64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</row>
    <row r="993" spans="4:43" ht="14.25" customHeight="1" x14ac:dyDescent="0.35">
      <c r="D993" s="63"/>
      <c r="F993" s="64"/>
      <c r="G993" s="65"/>
      <c r="H993" s="64"/>
      <c r="I993" s="64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  <c r="AQ993" s="65"/>
    </row>
    <row r="994" spans="4:43" ht="14.25" customHeight="1" x14ac:dyDescent="0.35">
      <c r="D994" s="63"/>
      <c r="F994" s="64"/>
      <c r="G994" s="65"/>
      <c r="H994" s="64"/>
      <c r="I994" s="64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  <c r="AQ994" s="65"/>
    </row>
    <row r="995" spans="4:43" ht="14.25" customHeight="1" x14ac:dyDescent="0.35">
      <c r="D995" s="63"/>
      <c r="F995" s="64"/>
      <c r="G995" s="65"/>
      <c r="H995" s="64"/>
      <c r="I995" s="64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  <c r="AQ995" s="65"/>
    </row>
    <row r="996" spans="4:43" ht="14.25" customHeight="1" x14ac:dyDescent="0.35">
      <c r="D996" s="63"/>
      <c r="F996" s="64"/>
      <c r="G996" s="65"/>
      <c r="H996" s="64"/>
      <c r="I996" s="64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  <c r="AQ996" s="65"/>
    </row>
    <row r="997" spans="4:43" ht="14.25" customHeight="1" x14ac:dyDescent="0.35">
      <c r="D997" s="63"/>
      <c r="F997" s="64"/>
      <c r="G997" s="65"/>
      <c r="H997" s="64"/>
      <c r="I997" s="64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  <c r="AQ997" s="65"/>
    </row>
    <row r="998" spans="4:43" ht="14.25" customHeight="1" x14ac:dyDescent="0.35">
      <c r="D998" s="63"/>
      <c r="F998" s="64"/>
      <c r="G998" s="65"/>
      <c r="H998" s="64"/>
      <c r="I998" s="64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  <c r="AQ998" s="65"/>
    </row>
    <row r="999" spans="4:43" ht="14.25" customHeight="1" x14ac:dyDescent="0.35">
      <c r="D999" s="63"/>
      <c r="F999" s="64"/>
      <c r="G999" s="65"/>
      <c r="H999" s="64"/>
      <c r="I999" s="64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  <c r="AQ999" s="65"/>
    </row>
    <row r="1000" spans="4:43" ht="14.25" customHeight="1" x14ac:dyDescent="0.35">
      <c r="D1000" s="63"/>
      <c r="F1000" s="64"/>
      <c r="G1000" s="65"/>
      <c r="H1000" s="64"/>
      <c r="I1000" s="64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  <c r="AQ1000" s="65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Sheet2!ExternalData_1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Linh</dc:creator>
  <cp:lastModifiedBy>Nguyen Thi Diem My</cp:lastModifiedBy>
  <dcterms:created xsi:type="dcterms:W3CDTF">2026-01-30T06:33:01Z</dcterms:created>
  <dcterms:modified xsi:type="dcterms:W3CDTF">2026-03-28T14:00:52Z</dcterms:modified>
</cp:coreProperties>
</file>